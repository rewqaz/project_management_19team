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f5f659164048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" sheetId="1" r:id="R0fb10492fa124775"/>
    <x:sheet xmlns:r="http://schemas.openxmlformats.org/officeDocument/2006/relationships" name="Эксперт 1" sheetId="2" r:id="R8c222cfbd6d048c2"/>
    <x:sheet xmlns:r="http://schemas.openxmlformats.org/officeDocument/2006/relationships" name="Эксперт 2" sheetId="3" r:id="R059e1e5908fa4af3"/>
    <x:sheet xmlns:r="http://schemas.openxmlformats.org/officeDocument/2006/relationships" name="Эксперт 3" sheetId="4" r:id="R67ea2b9232134a75"/>
    <x:sheet xmlns:r="http://schemas.openxmlformats.org/officeDocument/2006/relationships" name="Эксперт 4" sheetId="5" r:id="R105c5179929543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"/>
  </x:numFmts>
  <x:fonts count="6">
    <x:font>
      <x:sz val="11"/>
      <x:name val="Carlito"/>
    </x:font>
    <x:font>
      <x:b/>
      <x:sz val="16"/>
      <x:color rgb="FFFFFFFF"/>
      <x:name val="Aptos"/>
    </x:font>
    <x:font>
      <x:b/>
      <x:sz val="12"/>
      <x:name val="Aptos"/>
    </x:font>
    <x:font>
      <x:sz val="11"/>
      <x:color rgb="FF222222"/>
      <x:name val="Aptos"/>
    </x:font>
    <x:font>
      <x:b/>
      <x:sz val="11"/>
      <x:color rgb="FF000000"/>
      <x:name val="Aptos"/>
    </x:font>
    <x:font>
      <x:b/>
      <x:sz val="15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CE6F1"/>
      </x:patternFill>
    </x:fill>
    <x:fill>
      <x:patternFill patternType="solid">
        <x:fgColor rgb="FFE8EDF2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c401ee80e4cac" /><Relationship Type="http://schemas.openxmlformats.org/officeDocument/2006/relationships/theme" Target="/xl/theme/theme1.xml" Id="R2e0a6a6f6cec4f7a" /><Relationship Type="http://schemas.openxmlformats.org/officeDocument/2006/relationships/sharedStrings" Target="/xl/sharedStrings.xml" Id="R11a2d2475f294e27" /><Relationship Type="http://schemas.openxmlformats.org/officeDocument/2006/relationships/worksheet" Target="/xl/worksheets/sheet1.xml" Id="R0fb10492fa124775" /><Relationship Type="http://schemas.openxmlformats.org/officeDocument/2006/relationships/worksheet" Target="/xl/worksheets/sheet2.xml" Id="R8c222cfbd6d048c2" /><Relationship Type="http://schemas.openxmlformats.org/officeDocument/2006/relationships/worksheet" Target="/xl/worksheets/sheet3.xml" Id="R059e1e5908fa4af3" /><Relationship Type="http://schemas.openxmlformats.org/officeDocument/2006/relationships/worksheet" Target="/xl/worksheets/sheet4.xml" Id="R67ea2b9232134a75" /><Relationship Type="http://schemas.openxmlformats.org/officeDocument/2006/relationships/worksheet" Target="/xl/worksheets/sheet5.xml" Id="R105c5179929543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4" hidden="0" customWidth="1"/>
    <x:col min="3" max="3" width="45" hidden="0" customWidth="1"/>
    <x:col min="4" max="4" width="21" hidden="0" customWidth="1"/>
    <x:col min="5" max="5" width="12" hidden="0" customWidth="1"/>
    <x:col min="6" max="6" width="12" hidden="0" customWidth="1"/>
  </x:cols>
  <x:sheetData>
    <x:row r="1">
      <x:c r="A1" s="2" t="str">
        <x:v>Фаза 1 — модельные экспертные оценки</x:v>
      </x:c>
      <x:c r="B1" s="2"/>
      <x:c r="C1" s="2"/>
      <x:c r="D1" s="2"/>
      <x:c r="E1" s="2"/>
      <x:c r="F1" s="2"/>
    </x:row>
    <x:row r="3">
      <x:c r="A3" s="3" t="str">
        <x:v>Как заполнить</x:v>
      </x:c>
    </x:row>
    <x:row r="5" ht="38" customHeight="1">
      <x:c r="A5" s="4" t="str">
        <x:v>1. Четыре листа заполнены модельными профилями M1–M4. Это не личные ответы студентов.</x:v>
      </x:c>
      <x:c r="B5" s="4"/>
      <x:c r="C5" s="4"/>
      <x:c r="D5" s="4"/>
      <x:c r="E5" s="4"/>
      <x:c r="F5" s="4"/>
    </x:row>
    <x:row r="6" ht="38" customHeight="1">
      <x:c r="A6" s="4" t="str">
        <x:v>2. Для TOPSIS приведены три числа по шкале 1–9: осторожная, ожидаемая и благоприятная оценки.</x:v>
      </x:c>
      <x:c r="B6" s="4"/>
      <x:c r="C6" s="4"/>
      <x:c r="D6" s="4"/>
      <x:c r="E6" s="4"/>
      <x:c r="F6" s="4"/>
    </x:row>
    <x:row r="7" ht="38" customHeight="1">
      <x:c r="A7" s="4" t="str">
        <x:v>3. Для МАИ приведены независимые парные сравнения; число показывает предпочтение первого элемента.</x:v>
      </x:c>
      <x:c r="B7" s="4"/>
      <x:c r="C7" s="4"/>
      <x:c r="D7" s="4"/>
      <x:c r="E7" s="4"/>
      <x:c r="F7" s="4"/>
    </x:row>
    <x:row r="8" ht="38" customHeight="1">
      <x:c r="A8" s="4" t="str">
        <x:v>4. Для расчётов используются исходные данные model_inputs.json и скрипт calculate_phase1.py в репозитории.</x:v>
      </x:c>
      <x:c r="B8" s="4"/>
      <x:c r="C8" s="4"/>
      <x:c r="D8" s="4"/>
      <x:c r="E8" s="4"/>
      <x:c r="F8" s="4"/>
    </x:row>
    <x:row r="9" ht="38" customHeight="1">
      <x:c r="A9" s="4" t="str">
        <x:v>5. Результаты ниже — фиксированный снимок расчёта. После изменения чисел повторно запустите скрипт.</x:v>
      </x:c>
      <x:c r="B9" s="4"/>
      <x:c r="C9" s="4"/>
      <x:c r="D9" s="4"/>
      <x:c r="E9" s="4"/>
      <x:c r="F9" s="4"/>
    </x:row>
    <x:row r="10" ht="38" customHeight="1">
      <x:c r="A10" s="4" t="str">
        <x:v>6. По заданию требуется команда из трёх человек; состав из четырёх следует согласовать с преподавателем.</x:v>
      </x:c>
      <x:c r="B10" s="4"/>
      <x:c r="C10" s="4"/>
      <x:c r="D10" s="4"/>
      <x:c r="E10" s="4"/>
      <x:c r="F10" s="4"/>
    </x:row>
    <x:row r="13">
      <x:c r="A13" s="6" t="str">
        <x:v>Код</x:v>
      </x:c>
      <x:c r="B13" s="6" t="str">
        <x:v>Концепция</x:v>
      </x:c>
      <x:c r="C13" s="6" t="str">
        <x:v>Граница MVP</x:v>
      </x:c>
      <x:c r="D13" s="6" t="str"/>
      <x:c r="E13" s="6" t="str"/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  <x:c r="D14" t="str"/>
      <x:c r="E14" t="str"/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  <x:c r="D15" t="str"/>
      <x:c r="E15" t="str"/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  <x:c r="D16" t="str"/>
      <x:c r="E16" t="str"/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  <x:c r="D17" t="str"/>
      <x:c r="E17" t="str"/>
    </x:row>
    <x:row r="20">
      <x:c r="A20" s="6" t="str">
        <x:v>Код</x:v>
      </x:c>
      <x:c r="B20" s="6" t="str">
        <x:v>Критерий</x:v>
      </x:c>
      <x:c r="C20" s="6" t="str">
        <x:v>Направление</x:v>
      </x:c>
    </x:row>
    <x:row r="21">
      <x:c r="A21" t="str">
        <x:v>C1</x:v>
      </x:c>
      <x:c r="B21" t="str">
        <x:v>Полезность</x:v>
      </x:c>
      <x:c r="C21" t="str">
        <x:v>Больше — лучше</x:v>
      </x:c>
    </x:row>
    <x:row r="22">
      <x:c r="A22" t="str">
        <x:v>C2</x:v>
      </x:c>
      <x:c r="B22" t="str">
        <x:v>Реализуемость</x:v>
      </x:c>
      <x:c r="C22" t="str">
        <x:v>Больше — лучше</x:v>
      </x:c>
    </x:row>
    <x:row r="23">
      <x:c r="A23" t="str">
        <x:v>C3</x:v>
      </x:c>
      <x:c r="B23" t="str">
        <x:v>Ясность сценариев</x:v>
      </x:c>
      <x:c r="C23" t="str">
        <x:v>Больше — лучше</x:v>
      </x:c>
    </x:row>
    <x:row r="24">
      <x:c r="A24" t="str">
        <x:v>C4</x:v>
      </x:c>
      <x:c r="B24" t="str">
        <x:v>Пригодность для планирования</x:v>
      </x:c>
      <x:c r="C24" t="str">
        <x:v>Больше — лучше</x:v>
      </x:c>
    </x:row>
    <x:row r="27">
      <x:c r="A27" s="6" t="str">
        <x:v>Результаты модельного расчёта</x:v>
      </x:c>
      <x:c r="B27" s="6"/>
      <x:c r="C27" s="6"/>
      <x:c r="D27" s="6"/>
      <x:c r="E27" s="6"/>
      <x:c r="F27" s="6"/>
    </x:row>
    <x:row r="28">
      <x:c r="A28" s="8" t="str">
        <x:v>Код</x:v>
      </x:c>
      <x:c r="B28" s="8" t="str">
        <x:v>Концепция</x:v>
      </x:c>
      <x:c r="C28" s="8" t="str">
        <x:v>CC TOPSIS</x:v>
      </x:c>
      <x:c r="D28" s="8" t="str">
        <x:v>Приоритет МАИ</x:v>
      </x:c>
      <x:c r="E28" s="8" t="str">
        <x:v>Место</x:v>
      </x:c>
    </x:row>
    <x:row r="29">
      <x:c r="A29" t="str">
        <x:v>A1</x:v>
      </x:c>
      <x:c r="B29" t="str">
        <x:v>Бронирование помещений</x:v>
      </x:c>
      <x:c r="C29" s="9" t="n">
        <x:v>0.3160411269988924</x:v>
      </x:c>
      <x:c r="D29" s="9" t="n">
        <x:v>0.20940409514677905</x:v>
      </x:c>
      <x:c r="E29" t="n">
        <x:v>4</x:v>
      </x:c>
    </x:row>
    <x:row r="30">
      <x:c r="A30" t="str">
        <x:v>A2</x:v>
      </x:c>
      <x:c r="B30" t="str">
        <x:v>Учебные группы</x:v>
      </x:c>
      <x:c r="C30" s="9" t="n">
        <x:v>0.39870588170967236</x:v>
      </x:c>
      <x:c r="D30" s="9" t="n">
        <x:v>0.22778352179134456</x:v>
      </x:c>
      <x:c r="E30" t="n">
        <x:v>3</x:v>
      </x:c>
    </x:row>
    <x:row r="31">
      <x:c r="A31" t="str">
        <x:v>A3</x:v>
      </x:c>
      <x:c r="B31" t="str">
        <x:v>Студенческие события</x:v>
      </x:c>
      <x:c r="C31" s="9" t="n">
        <x:v>0.8228009450757976</x:v>
      </x:c>
      <x:c r="D31" s="9" t="n">
        <x:v>0.30118307871310884</x:v>
      </x:c>
      <x:c r="E31" t="n">
        <x:v>1</x:v>
      </x:c>
    </x:row>
    <x:row r="32">
      <x:c r="A32" t="str">
        <x:v>A4</x:v>
      </x:c>
      <x:c r="B32" t="str">
        <x:v>Волонтёрские смены</x:v>
      </x:c>
      <x:c r="C32" s="9" t="n">
        <x:v>0.579350742131985</x:v>
      </x:c>
      <x:c r="D32" s="9" t="n">
        <x:v>0.2616293043487676</x:v>
      </x:c>
      <x:c r="E32" t="n">
        <x:v>2</x:v>
      </x:c>
    </x:row>
  </x:sheetData>
  <x:mergeCells>
    <x:mergeCell ref="A1:F1"/>
    <x:mergeCell ref="A5:F5"/>
    <x:mergeCell ref="A6:F6"/>
    <x:mergeCell ref="A7:F7"/>
    <x:mergeCell ref="A8:F8"/>
    <x:mergeCell ref="A9:F9"/>
    <x:mergeCell ref="A10:F10"/>
    <x:mergeCell ref="A27:F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M1 — Акцент на практической пользе и понятном пользовательском сценарии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7</x:v>
      </x:c>
      <x:c r="E7" s="14" t="n">
        <x:v>8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6</x:v>
      </x:c>
      <x:c r="E8" s="14" t="n">
        <x:v>7</x:v>
      </x:c>
      <x:c r="F8" s="14" t="n">
        <x:v>8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5</x:v>
      </x:c>
      <x:c r="E9" s="14" t="n">
        <x:v>6</x:v>
      </x:c>
      <x:c r="F9" s="14" t="n">
        <x:v>7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6</x:v>
      </x:c>
      <x:c r="E10" s="14" t="n">
        <x:v>7</x:v>
      </x:c>
      <x:c r="F10" s="14" t="n">
        <x:v>8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4</x:v>
      </x:c>
      <x:c r="E12" s="14" t="n">
        <x:v>5</x:v>
      </x:c>
      <x:c r="F12" s="14" t="n">
        <x:v>6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1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0.5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0.3333333333333333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0.5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0.5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3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2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0.3333333333333333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M2 — Акцент на полезности и простоте запуска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8</x:v>
      </x:c>
      <x:c r="E7" s="14" t="n">
        <x:v>9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6</x:v>
      </x:c>
      <x:c r="E8" s="14" t="n">
        <x:v>7</x:v>
      </x:c>
      <x:c r="F8" s="14" t="n">
        <x:v>8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6</x:v>
      </x:c>
      <x:c r="E9" s="14" t="n">
        <x:v>7</x:v>
      </x:c>
      <x:c r="F9" s="14" t="n">
        <x:v>8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5</x:v>
      </x:c>
      <x:c r="E10" s="14" t="n">
        <x:v>6</x:v>
      </x:c>
      <x:c r="F10" s="14" t="n">
        <x:v>7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5</x:v>
      </x:c>
      <x:c r="E11" s="14" t="n">
        <x:v>6</x:v>
      </x:c>
      <x:c r="F11" s="14" t="n">
        <x:v>7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5</x:v>
      </x:c>
      <x:c r="E12" s="14" t="n">
        <x:v>6</x:v>
      </x:c>
      <x:c r="F12" s="14" t="n">
        <x:v>7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7</x:v>
      </x:c>
      <x:c r="E15" s="14" t="n">
        <x:v>8</x:v>
      </x:c>
      <x:c r="F15" s="14" t="n">
        <x:v>9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8</x:v>
      </x:c>
      <x:c r="E19" s="14" t="n">
        <x:v>9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7</x:v>
      </x:c>
      <x:c r="E26" s="14" t="n">
        <x:v>8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2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3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2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0.5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0.3333333333333333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0.5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0.5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1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1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2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0.3333333333333333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1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0.5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M3 — Акцент на реализуемости учебной командой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6</x:v>
      </x:c>
      <x:c r="E7" s="14" t="n">
        <x:v>7</x:v>
      </x:c>
      <x:c r="F7" s="14" t="n">
        <x:v>8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8</x:v>
      </x:c>
      <x:c r="E8" s="14" t="n">
        <x:v>9</x:v>
      </x:c>
      <x:c r="F8" s="14" t="n">
        <x:v>9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6</x:v>
      </x:c>
      <x:c r="E9" s="14" t="n">
        <x:v>7</x:v>
      </x:c>
      <x:c r="F9" s="14" t="n">
        <x:v>8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5</x:v>
      </x:c>
      <x:c r="E10" s="14" t="n">
        <x:v>6</x:v>
      </x:c>
      <x:c r="F10" s="14" t="n">
        <x:v>7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4</x:v>
      </x:c>
      <x:c r="E12" s="14" t="n">
        <x:v>5</x:v>
      </x:c>
      <x:c r="F12" s="14" t="n">
        <x:v>6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8</x:v>
      </x:c>
      <x:c r="E13" s="14" t="n">
        <x:v>9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8</x:v>
      </x:c>
      <x:c r="E16" s="14" t="n">
        <x:v>9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5</x:v>
      </x:c>
      <x:c r="E17" s="14" t="n">
        <x:v>6</x:v>
      </x:c>
      <x:c r="F17" s="14" t="n">
        <x:v>7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7</x:v>
      </x:c>
      <x:c r="E20" s="14" t="n">
        <x:v>8</x:v>
      </x:c>
      <x:c r="F20" s="14" t="n">
        <x:v>9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7</x:v>
      </x:c>
      <x:c r="E21" s="14" t="n">
        <x:v>8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6</x:v>
      </x:c>
      <x:c r="E23" s="14" t="n">
        <x:v>7</x:v>
      </x:c>
      <x:c r="F23" s="14" t="n">
        <x:v>8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7</x:v>
      </x:c>
      <x:c r="E25" s="14" t="n">
        <x:v>8</x:v>
      </x:c>
      <x:c r="F25" s="14" t="n">
        <x:v>9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0.5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3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2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0.5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1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1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0.3333333333333333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0.3333333333333333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0.5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2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3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0.5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0.5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1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</x:cols>
  <x:sheetData>
    <x:row r="1">
      <x:c r="A1" s="10" t="str">
        <x:v>Индивидуальная анкета эксперта</x:v>
      </x:c>
      <x:c r="B1" s="10"/>
      <x:c r="C1" s="10"/>
      <x:c r="D1" s="10"/>
      <x:c r="E1" s="10"/>
      <x:c r="F1" s="10"/>
      <x:c r="G1" s="10"/>
    </x:row>
    <x:row r="3">
      <x:c r="A3" t="str">
        <x:v>Модельный профиль</x:v>
      </x:c>
      <x:c r="B3" t="str">
        <x:v>M4 — Акцент на пригодности для последующих фаз планирования</x:v>
      </x:c>
    </x:row>
    <x:row r="4">
      <x:c r="A4" t="str">
        <x:v>Смоделировано для демонстрации метода; не является ответом участника команды.</x:v>
      </x:c>
    </x:row>
    <x:row r="5">
      <x:c r="A5" s="6" t="str">
        <x:v>Нечёткий TOPSIS — три оценки по шкале 1–9</x:v>
      </x:c>
      <x:c r="B5" s="6"/>
      <x:c r="C5" s="6"/>
      <x:c r="D5" s="6"/>
      <x:c r="E5" s="6"/>
      <x:c r="F5" s="6"/>
      <x:c r="G5" s="6"/>
    </x:row>
    <x:row r="6">
      <x:c r="A6" s="12" t="str">
        <x:v>Тип</x:v>
      </x:c>
      <x:c r="B6" s="12" t="str">
        <x:v>Концепция</x:v>
      </x:c>
      <x:c r="C6" s="12" t="str">
        <x:v>Критерий</x:v>
      </x:c>
      <x:c r="D6" s="12" t="str">
        <x:v>Пессимистичная</x:v>
      </x:c>
      <x:c r="E6" s="12" t="str">
        <x:v>Ожидаемая</x:v>
      </x:c>
      <x:c r="F6" s="12" t="str">
        <x:v>Оптимистичная</x:v>
      </x:c>
      <x:c r="G6" s="12" t="str">
        <x:v>Проверка</x:v>
      </x:c>
    </x:row>
    <x:row r="7">
      <x:c r="A7" s="13" t="str">
        <x:v>Вес критерия</x:v>
      </x:c>
      <x:c r="B7" s="13" t="str">
        <x:v>—</x:v>
      </x:c>
      <x:c r="C7" s="13" t="str">
        <x:v>C1 Полезность</x:v>
      </x:c>
      <x:c r="D7" s="14" t="n">
        <x:v>7</x:v>
      </x:c>
      <x:c r="E7" s="14" t="n">
        <x:v>8</x:v>
      </x:c>
      <x:c r="F7" s="14" t="n">
        <x:v>9</x:v>
      </x:c>
      <x:c r="G7" s="13" t="str">
        <x:f>IF(COUNTA(D7:F7)=0,"",IF(AND(COUNT(D7:F7)=3,D7&gt;=1,F7&lt;=9,D7&lt;=E7,E7&lt;=F7),"ОК","Проверьте"))</x:f>
        <x:v>ОК</x:v>
      </x:c>
    </x:row>
    <x:row r="8">
      <x:c r="A8" s="13" t="str">
        <x:v>Вес критерия</x:v>
      </x:c>
      <x:c r="B8" s="13" t="str">
        <x:v>—</x:v>
      </x:c>
      <x:c r="C8" s="13" t="str">
        <x:v>C2 Реализуемость</x:v>
      </x:c>
      <x:c r="D8" s="14" t="n">
        <x:v>7</x:v>
      </x:c>
      <x:c r="E8" s="14" t="n">
        <x:v>8</x:v>
      </x:c>
      <x:c r="F8" s="14" t="n">
        <x:v>9</x:v>
      </x:c>
      <x:c r="G8" s="13" t="str">
        <x:f>IF(COUNTA(D8:F8)=0,"",IF(AND(COUNT(D8:F8)=3,D8&gt;=1,F8&lt;=9,D8&lt;=E8,E8&lt;=F8),"ОК","Проверьте"))</x:f>
        <x:v>ОК</x:v>
      </x:c>
    </x:row>
    <x:row r="9">
      <x:c r="A9" s="13" t="str">
        <x:v>Вес критерия</x:v>
      </x:c>
      <x:c r="B9" s="13" t="str">
        <x:v>—</x:v>
      </x:c>
      <x:c r="C9" s="13" t="str">
        <x:v>C3 Ясность сценариев</x:v>
      </x:c>
      <x:c r="D9" s="14" t="n">
        <x:v>5</x:v>
      </x:c>
      <x:c r="E9" s="14" t="n">
        <x:v>6</x:v>
      </x:c>
      <x:c r="F9" s="14" t="n">
        <x:v>7</x:v>
      </x:c>
      <x:c r="G9" s="13" t="str">
        <x:f>IF(COUNTA(D9:F9)=0,"",IF(AND(COUNT(D9:F9)=3,D9&gt;=1,F9&lt;=9,D9&lt;=E9,E9&lt;=F9),"ОК","Проверьте"))</x:f>
        <x:v>ОК</x:v>
      </x:c>
    </x:row>
    <x:row r="10">
      <x:c r="A10" s="13" t="str">
        <x:v>Вес критерия</x:v>
      </x:c>
      <x:c r="B10" s="13" t="str">
        <x:v>—</x:v>
      </x:c>
      <x:c r="C10" s="13" t="str">
        <x:v>C4 Пригодность для планирования</x:v>
      </x:c>
      <x:c r="D10" s="14" t="n">
        <x:v>8</x:v>
      </x:c>
      <x:c r="E10" s="14" t="n">
        <x:v>9</x:v>
      </x:c>
      <x:c r="F10" s="14" t="n">
        <x:v>9</x:v>
      </x:c>
      <x:c r="G10" s="13" t="str">
        <x:f>IF(COUNTA(D10:F10)=0,"",IF(AND(COUNT(D10:F10)=3,D10&gt;=1,F10&lt;=9,D10&lt;=E10,E10&lt;=F10),"ОК","Проверьте"))</x:f>
        <x:v>ОК</x:v>
      </x:c>
    </x:row>
    <x:row r="11">
      <x:c r="A11" s="13" t="str">
        <x:v>Оценка концепции</x:v>
      </x:c>
      <x:c r="B11" s="13" t="str">
        <x:v>A1 Бронирование помещений</x:v>
      </x:c>
      <x:c r="C11" s="13" t="str">
        <x:v>C1 Полезность</x:v>
      </x:c>
      <x:c r="D11" s="14" t="n">
        <x:v>6</x:v>
      </x:c>
      <x:c r="E11" s="14" t="n">
        <x:v>7</x:v>
      </x:c>
      <x:c r="F11" s="14" t="n">
        <x:v>8</x:v>
      </x:c>
      <x:c r="G11" s="13" t="str">
        <x:f>IF(COUNTA(D11:F11)=0,"",IF(AND(COUNT(D11:F11)=3,D11&gt;=1,F11&lt;=9,D11&lt;=E11,E11&lt;=F11),"ОК","Проверьте"))</x:f>
        <x:v>ОК</x:v>
      </x:c>
    </x:row>
    <x:row r="12">
      <x:c r="A12" s="13" t="str">
        <x:v>Оценка концепции</x:v>
      </x:c>
      <x:c r="B12" s="13" t="str">
        <x:v>A1 Бронирование помещений</x:v>
      </x:c>
      <x:c r="C12" s="13" t="str">
        <x:v>C2 Реализуемость</x:v>
      </x:c>
      <x:c r="D12" s="14" t="n">
        <x:v>5</x:v>
      </x:c>
      <x:c r="E12" s="14" t="n">
        <x:v>6</x:v>
      </x:c>
      <x:c r="F12" s="14" t="n">
        <x:v>7</x:v>
      </x:c>
      <x:c r="G12" s="13" t="str">
        <x:f>IF(COUNTA(D12:F12)=0,"",IF(AND(COUNT(D12:F12)=3,D12&gt;=1,F12&lt;=9,D12&lt;=E12,E12&lt;=F12),"ОК","Проверьте"))</x:f>
        <x:v>ОК</x:v>
      </x:c>
    </x:row>
    <x:row r="13">
      <x:c r="A13" s="13" t="str">
        <x:v>Оценка концепции</x:v>
      </x:c>
      <x:c r="B13" s="13" t="str">
        <x:v>A1 Бронирование помещений</x:v>
      </x:c>
      <x:c r="C13" s="13" t="str">
        <x:v>C3 Ясность сценариев</x:v>
      </x:c>
      <x:c r="D13" s="14" t="n">
        <x:v>7</x:v>
      </x:c>
      <x:c r="E13" s="14" t="n">
        <x:v>8</x:v>
      </x:c>
      <x:c r="F13" s="14" t="n">
        <x:v>9</x:v>
      </x:c>
      <x:c r="G13" s="13" t="str">
        <x:f>IF(COUNTA(D13:F13)=0,"",IF(AND(COUNT(D13:F13)=3,D13&gt;=1,F13&lt;=9,D13&lt;=E13,E13&lt;=F13),"ОК","Проверьте"))</x:f>
        <x:v>ОК</x:v>
      </x:c>
    </x:row>
    <x:row r="14">
      <x:c r="A14" s="13" t="str">
        <x:v>Оценка концепции</x:v>
      </x:c>
      <x:c r="B14" s="13" t="str">
        <x:v>A1 Бронирование помещений</x:v>
      </x:c>
      <x:c r="C14" s="13" t="str">
        <x:v>C4 Пригодность для планирования</x:v>
      </x:c>
      <x:c r="D14" s="14" t="n">
        <x:v>6</x:v>
      </x:c>
      <x:c r="E14" s="14" t="n">
        <x:v>7</x:v>
      </x:c>
      <x:c r="F14" s="14" t="n">
        <x:v>8</x:v>
      </x:c>
      <x:c r="G14" s="13" t="str">
        <x:f>IF(COUNTA(D14:F14)=0,"",IF(AND(COUNT(D14:F14)=3,D14&gt;=1,F14&lt;=9,D14&lt;=E14,E14&lt;=F14),"ОК","Проверьте"))</x:f>
        <x:v>ОК</x:v>
      </x:c>
    </x:row>
    <x:row r="15">
      <x:c r="A15" s="13" t="str">
        <x:v>Оценка концепции</x:v>
      </x:c>
      <x:c r="B15" s="13" t="str">
        <x:v>A2 Учебные группы</x:v>
      </x:c>
      <x:c r="C15" s="13" t="str">
        <x:v>C1 Полезность</x:v>
      </x:c>
      <x:c r="D15" s="14" t="n">
        <x:v>6</x:v>
      </x:c>
      <x:c r="E15" s="14" t="n">
        <x:v>7</x:v>
      </x:c>
      <x:c r="F15" s="14" t="n">
        <x:v>8</x:v>
      </x:c>
      <x:c r="G15" s="13" t="str">
        <x:f>IF(COUNTA(D15:F15)=0,"",IF(AND(COUNT(D15:F15)=3,D15&gt;=1,F15&lt;=9,D15&lt;=E15,E15&lt;=F15),"ОК","Проверьте"))</x:f>
        <x:v>ОК</x:v>
      </x:c>
    </x:row>
    <x:row r="16">
      <x:c r="A16" s="13" t="str">
        <x:v>Оценка концепции</x:v>
      </x:c>
      <x:c r="B16" s="13" t="str">
        <x:v>A2 Учебные группы</x:v>
      </x:c>
      <x:c r="C16" s="13" t="str">
        <x:v>C2 Реализуемость</x:v>
      </x:c>
      <x:c r="D16" s="14" t="n">
        <x:v>7</x:v>
      </x:c>
      <x:c r="E16" s="14" t="n">
        <x:v>8</x:v>
      </x:c>
      <x:c r="F16" s="14" t="n">
        <x:v>9</x:v>
      </x:c>
      <x:c r="G16" s="13" t="str">
        <x:f>IF(COUNTA(D16:F16)=0,"",IF(AND(COUNT(D16:F16)=3,D16&gt;=1,F16&lt;=9,D16&lt;=E16,E16&lt;=F16),"ОК","Проверьте"))</x:f>
        <x:v>ОК</x:v>
      </x:c>
    </x:row>
    <x:row r="17">
      <x:c r="A17" s="13" t="str">
        <x:v>Оценка концепции</x:v>
      </x:c>
      <x:c r="B17" s="13" t="str">
        <x:v>A2 Учебные группы</x:v>
      </x:c>
      <x:c r="C17" s="13" t="str">
        <x:v>C3 Ясность сценариев</x:v>
      </x:c>
      <x:c r="D17" s="14" t="n">
        <x:v>6</x:v>
      </x:c>
      <x:c r="E17" s="14" t="n">
        <x:v>7</x:v>
      </x:c>
      <x:c r="F17" s="14" t="n">
        <x:v>8</x:v>
      </x:c>
      <x:c r="G17" s="13" t="str">
        <x:f>IF(COUNTA(D17:F17)=0,"",IF(AND(COUNT(D17:F17)=3,D17&gt;=1,F17&lt;=9,D17&lt;=E17,E17&lt;=F17),"ОК","Проверьте"))</x:f>
        <x:v>ОК</x:v>
      </x:c>
    </x:row>
    <x:row r="18">
      <x:c r="A18" s="13" t="str">
        <x:v>Оценка концепции</x:v>
      </x:c>
      <x:c r="B18" s="13" t="str">
        <x:v>A2 Учебные группы</x:v>
      </x:c>
      <x:c r="C18" s="13" t="str">
        <x:v>C4 Пригодность для планирования</x:v>
      </x:c>
      <x:c r="D18" s="14" t="n">
        <x:v>5</x:v>
      </x:c>
      <x:c r="E18" s="14" t="n">
        <x:v>6</x:v>
      </x:c>
      <x:c r="F18" s="14" t="n">
        <x:v>7</x:v>
      </x:c>
      <x:c r="G18" s="13" t="str">
        <x:f>IF(COUNTA(D18:F18)=0,"",IF(AND(COUNT(D18:F18)=3,D18&gt;=1,F18&lt;=9,D18&lt;=E18,E18&lt;=F18),"ОК","Проверьте"))</x:f>
        <x:v>ОК</x:v>
      </x:c>
    </x:row>
    <x:row r="19">
      <x:c r="A19" s="13" t="str">
        <x:v>Оценка концепции</x:v>
      </x:c>
      <x:c r="B19" s="13" t="str">
        <x:v>A3 Студенческие события</x:v>
      </x:c>
      <x:c r="C19" s="13" t="str">
        <x:v>C1 Полезность</x:v>
      </x:c>
      <x:c r="D19" s="14" t="n">
        <x:v>7</x:v>
      </x:c>
      <x:c r="E19" s="14" t="n">
        <x:v>8</x:v>
      </x:c>
      <x:c r="F19" s="14" t="n">
        <x:v>9</x:v>
      </x:c>
      <x:c r="G19" s="13" t="str">
        <x:f>IF(COUNTA(D19:F19)=0,"",IF(AND(COUNT(D19:F19)=3,D19&gt;=1,F19&lt;=9,D19&lt;=E19,E19&lt;=F19),"ОК","Проверьте"))</x:f>
        <x:v>ОК</x:v>
      </x:c>
    </x:row>
    <x:row r="20">
      <x:c r="A20" s="13" t="str">
        <x:v>Оценка концепции</x:v>
      </x:c>
      <x:c r="B20" s="13" t="str">
        <x:v>A3 Студенческие события</x:v>
      </x:c>
      <x:c r="C20" s="13" t="str">
        <x:v>C2 Реализуемость</x:v>
      </x:c>
      <x:c r="D20" s="14" t="n">
        <x:v>6</x:v>
      </x:c>
      <x:c r="E20" s="14" t="n">
        <x:v>7</x:v>
      </x:c>
      <x:c r="F20" s="14" t="n">
        <x:v>8</x:v>
      </x:c>
      <x:c r="G20" s="13" t="str">
        <x:f>IF(COUNTA(D20:F20)=0,"",IF(AND(COUNT(D20:F20)=3,D20&gt;=1,F20&lt;=9,D20&lt;=E20,E20&lt;=F20),"ОК","Проверьте"))</x:f>
        <x:v>ОК</x:v>
      </x:c>
    </x:row>
    <x:row r="21">
      <x:c r="A21" s="13" t="str">
        <x:v>Оценка концепции</x:v>
      </x:c>
      <x:c r="B21" s="13" t="str">
        <x:v>A3 Студенческие события</x:v>
      </x:c>
      <x:c r="C21" s="13" t="str">
        <x:v>C3 Ясность сценариев</x:v>
      </x:c>
      <x:c r="D21" s="14" t="n">
        <x:v>8</x:v>
      </x:c>
      <x:c r="E21" s="14" t="n">
        <x:v>9</x:v>
      </x:c>
      <x:c r="F21" s="14" t="n">
        <x:v>9</x:v>
      </x:c>
      <x:c r="G21" s="13" t="str">
        <x:f>IF(COUNTA(D21:F21)=0,"",IF(AND(COUNT(D21:F21)=3,D21&gt;=1,F21&lt;=9,D21&lt;=E21,E21&lt;=F21),"ОК","Проверьте"))</x:f>
        <x:v>ОК</x:v>
      </x:c>
    </x:row>
    <x:row r="22">
      <x:c r="A22" s="13" t="str">
        <x:v>Оценка концепции</x:v>
      </x:c>
      <x:c r="B22" s="13" t="str">
        <x:v>A3 Студенческие события</x:v>
      </x:c>
      <x:c r="C22" s="13" t="str">
        <x:v>C4 Пригодность для планирования</x:v>
      </x:c>
      <x:c r="D22" s="14" t="n">
        <x:v>7</x:v>
      </x:c>
      <x:c r="E22" s="14" t="n">
        <x:v>8</x:v>
      </x:c>
      <x:c r="F22" s="14" t="n">
        <x:v>9</x:v>
      </x:c>
      <x:c r="G22" s="13" t="str">
        <x:f>IF(COUNTA(D22:F22)=0,"",IF(AND(COUNT(D22:F22)=3,D22&gt;=1,F22&lt;=9,D22&lt;=E22,E22&lt;=F22),"ОК","Проверьте"))</x:f>
        <x:v>ОК</x:v>
      </x:c>
    </x:row>
    <x:row r="23">
      <x:c r="A23" s="13" t="str">
        <x:v>Оценка концепции</x:v>
      </x:c>
      <x:c r="B23" s="13" t="str">
        <x:v>A4 Волонтёрские смены</x:v>
      </x:c>
      <x:c r="C23" s="13" t="str">
        <x:v>C1 Полезность</x:v>
      </x:c>
      <x:c r="D23" s="14" t="n">
        <x:v>7</x:v>
      </x:c>
      <x:c r="E23" s="14" t="n">
        <x:v>8</x:v>
      </x:c>
      <x:c r="F23" s="14" t="n">
        <x:v>9</x:v>
      </x:c>
      <x:c r="G23" s="13" t="str">
        <x:f>IF(COUNTA(D23:F23)=0,"",IF(AND(COUNT(D23:F23)=3,D23&gt;=1,F23&lt;=9,D23&lt;=E23,E23&lt;=F23),"ОК","Проверьте"))</x:f>
        <x:v>ОК</x:v>
      </x:c>
    </x:row>
    <x:row r="24">
      <x:c r="A24" s="13" t="str">
        <x:v>Оценка концепции</x:v>
      </x:c>
      <x:c r="B24" s="13" t="str">
        <x:v>A4 Волонтёрские смены</x:v>
      </x:c>
      <x:c r="C24" s="13" t="str">
        <x:v>C2 Реализуемость</x:v>
      </x:c>
      <x:c r="D24" s="14" t="n">
        <x:v>5</x:v>
      </x:c>
      <x:c r="E24" s="14" t="n">
        <x:v>6</x:v>
      </x:c>
      <x:c r="F24" s="14" t="n">
        <x:v>7</x:v>
      </x:c>
      <x:c r="G24" s="13" t="str">
        <x:f>IF(COUNTA(D24:F24)=0,"",IF(AND(COUNT(D24:F24)=3,D24&gt;=1,F24&lt;=9,D24&lt;=E24,E24&lt;=F24),"ОК","Проверьте"))</x:f>
        <x:v>ОК</x:v>
      </x:c>
    </x:row>
    <x:row r="25">
      <x:c r="A25" s="13" t="str">
        <x:v>Оценка концепции</x:v>
      </x:c>
      <x:c r="B25" s="13" t="str">
        <x:v>A4 Волонтёрские смены</x:v>
      </x:c>
      <x:c r="C25" s="13" t="str">
        <x:v>C3 Ясность сценариев</x:v>
      </x:c>
      <x:c r="D25" s="14" t="n">
        <x:v>6</x:v>
      </x:c>
      <x:c r="E25" s="14" t="n">
        <x:v>7</x:v>
      </x:c>
      <x:c r="F25" s="14" t="n">
        <x:v>8</x:v>
      </x:c>
      <x:c r="G25" s="13" t="str">
        <x:f>IF(COUNTA(D25:F25)=0,"",IF(AND(COUNT(D25:F25)=3,D25&gt;=1,F25&lt;=9,D25&lt;=E25,E25&lt;=F25),"ОК","Проверьте"))</x:f>
        <x:v>ОК</x:v>
      </x:c>
    </x:row>
    <x:row r="26">
      <x:c r="A26" s="13" t="str">
        <x:v>Оценка концепции</x:v>
      </x:c>
      <x:c r="B26" s="13" t="str">
        <x:v>A4 Волонтёрские смены</x:v>
      </x:c>
      <x:c r="C26" s="13" t="str">
        <x:v>C4 Пригодность для планирования</x:v>
      </x:c>
      <x:c r="D26" s="14" t="n">
        <x:v>8</x:v>
      </x:c>
      <x:c r="E26" s="14" t="n">
        <x:v>9</x:v>
      </x:c>
      <x:c r="F26" s="14" t="n">
        <x:v>9</x:v>
      </x:c>
      <x:c r="G26" s="13" t="str">
        <x:f>IF(COUNTA(D26:F26)=0,"",IF(AND(COUNT(D26:F26)=3,D26&gt;=1,F26&lt;=9,D26&lt;=E26,E26&lt;=F26),"ОК","Проверьте"))</x:f>
        <x:v>ОК</x:v>
      </x:c>
    </x:row>
    <x:row r="29">
      <x:c r="A29" s="6" t="str">
        <x:v>Чёткий МАИ — парные сравнения</x:v>
      </x:c>
      <x:c r="B29" s="6"/>
      <x:c r="C29" s="6"/>
      <x:c r="D29" s="6"/>
      <x:c r="E29" s="6"/>
      <x:c r="F29" s="6"/>
      <x:c r="G29" s="6"/>
    </x:row>
    <x:row r="30">
      <x:c r="A30" t="str">
        <x:v>В D укажите предпочтение первого элемента перед вторым: от 1/9 до 9.</x:v>
      </x:c>
    </x:row>
    <x:row r="32">
      <x:c r="A32" s="12" t="str">
        <x:v>Матрица</x:v>
      </x:c>
      <x:c r="B32" s="12" t="str">
        <x:v>Первый элемент</x:v>
      </x:c>
      <x:c r="C32" s="12" t="str">
        <x:v>Второй элемент</x:v>
      </x:c>
      <x:c r="D32" s="12" t="str">
        <x:v>Оценка</x:v>
      </x:c>
      <x:c r="E32" s="13" t="str">
        <x:v>Проверка</x:v>
      </x:c>
    </x:row>
    <x:row r="33">
      <x:c r="A33" s="13" t="str">
        <x:v>Критерии</x:v>
      </x:c>
      <x:c r="B33" s="13" t="str">
        <x:v>C1 Полезность</x:v>
      </x:c>
      <x:c r="C33" s="13" t="str">
        <x:v>C2 Реализуемость</x:v>
      </x:c>
      <x:c r="D33" s="14" t="n">
        <x:v>1</x:v>
      </x:c>
      <x:c r="E33" s="13" t="str">
        <x:f>IF(D33="","",IF(AND(D33&gt;=1/9,D33&lt;=9),"ОК","Проверьте"))</x:f>
        <x:v>ОК</x:v>
      </x:c>
    </x:row>
    <x:row r="34">
      <x:c r="A34" s="13" t="str">
        <x:v>Критерии</x:v>
      </x:c>
      <x:c r="B34" s="13" t="str">
        <x:v>C1 Полезность</x:v>
      </x:c>
      <x:c r="C34" s="13" t="str">
        <x:v>C3 Ясность сценариев</x:v>
      </x:c>
      <x:c r="D34" s="14" t="n">
        <x:v>2</x:v>
      </x:c>
      <x:c r="E34" s="13" t="str">
        <x:f>IF(D34="","",IF(AND(D34&gt;=1/9,D34&lt;=9),"ОК","Проверьте"))</x:f>
        <x:v>ОК</x:v>
      </x:c>
    </x:row>
    <x:row r="35">
      <x:c r="A35" s="13" t="str">
        <x:v>Критерии</x:v>
      </x:c>
      <x:c r="B35" s="13" t="str">
        <x:v>C1 Полезность</x:v>
      </x:c>
      <x:c r="C35" s="13" t="str">
        <x:v>C4 Пригодность для планирования</x:v>
      </x:c>
      <x:c r="D35" s="14" t="n">
        <x:v>1</x:v>
      </x:c>
      <x:c r="E35" s="13" t="str">
        <x:f>IF(D35="","",IF(AND(D35&gt;=1/9,D35&lt;=9),"ОК","Проверьте"))</x:f>
        <x:v>ОК</x:v>
      </x:c>
    </x:row>
    <x:row r="36">
      <x:c r="A36" s="13" t="str">
        <x:v>Критерии</x:v>
      </x:c>
      <x:c r="B36" s="13" t="str">
        <x:v>C2 Реализуемость</x:v>
      </x:c>
      <x:c r="C36" s="13" t="str">
        <x:v>C3 Ясность сценариев</x:v>
      </x:c>
      <x:c r="D36" s="14" t="n">
        <x:v>2</x:v>
      </x:c>
      <x:c r="E36" s="13" t="str">
        <x:f>IF(D36="","",IF(AND(D36&gt;=1/9,D36&lt;=9),"ОК","Проверьте"))</x:f>
        <x:v>ОК</x:v>
      </x:c>
    </x:row>
    <x:row r="37">
      <x:c r="A37" s="13" t="str">
        <x:v>Критерии</x:v>
      </x:c>
      <x:c r="B37" s="13" t="str">
        <x:v>C2 Реализуемость</x:v>
      </x:c>
      <x:c r="C37" s="13" t="str">
        <x:v>C4 Пригодность для планирования</x:v>
      </x:c>
      <x:c r="D37" s="14" t="n">
        <x:v>1</x:v>
      </x:c>
      <x:c r="E37" s="13" t="str">
        <x:f>IF(D37="","",IF(AND(D37&gt;=1/9,D37&lt;=9),"ОК","Проверьте"))</x:f>
        <x:v>ОК</x:v>
      </x:c>
    </x:row>
    <x:row r="38">
      <x:c r="A38" s="13" t="str">
        <x:v>Критерии</x:v>
      </x:c>
      <x:c r="B38" s="13" t="str">
        <x:v>C3 Ясность сценариев</x:v>
      </x:c>
      <x:c r="C38" s="13" t="str">
        <x:v>C4 Пригодность для планирования</x:v>
      </x:c>
      <x:c r="D38" s="14" t="n">
        <x:v>0.3333333333333333</x:v>
      </x:c>
      <x:c r="E38" s="13" t="str">
        <x:f>IF(D38="","",IF(AND(D38&gt;=1/9,D38&lt;=9),"ОК","Проверьте"))</x:f>
        <x:v>ОК</x:v>
      </x:c>
    </x:row>
    <x:row r="39">
      <x:c r="A39" s="13" t="str">
        <x:v>C1 Полезность</x:v>
      </x:c>
      <x:c r="B39" s="13" t="str">
        <x:v>A1 Бронирование помещений</x:v>
      </x:c>
      <x:c r="C39" s="13" t="str">
        <x:v>A2 Учебные группы</x:v>
      </x:c>
      <x:c r="D39" s="14" t="n">
        <x:v>1</x:v>
      </x:c>
      <x:c r="E39" s="13" t="str">
        <x:f>IF(D39="","",IF(AND(D39&gt;=1/9,D39&lt;=9),"ОК","Проверьте"))</x:f>
        <x:v>ОК</x:v>
      </x:c>
    </x:row>
    <x:row r="40">
      <x:c r="A40" s="13" t="str">
        <x:v>C1 Полезность</x:v>
      </x:c>
      <x:c r="B40" s="13" t="str">
        <x:v>A1 Бронирование помещений</x:v>
      </x:c>
      <x:c r="C40" s="13" t="str">
        <x:v>A3 Студенческие события</x:v>
      </x:c>
      <x:c r="D40" s="14" t="n">
        <x:v>0.5</x:v>
      </x:c>
      <x:c r="E40" s="13" t="str">
        <x:f>IF(D40="","",IF(AND(D40&gt;=1/9,D40&lt;=9),"ОК","Проверьте"))</x:f>
        <x:v>ОК</x:v>
      </x:c>
    </x:row>
    <x:row r="41">
      <x:c r="A41" s="13" t="str">
        <x:v>C1 Полезность</x:v>
      </x:c>
      <x:c r="B41" s="13" t="str">
        <x:v>A1 Бронирование помещений</x:v>
      </x:c>
      <x:c r="C41" s="13" t="str">
        <x:v>A4 Волонтёрские смены</x:v>
      </x:c>
      <x:c r="D41" s="14" t="n">
        <x:v>1</x:v>
      </x:c>
      <x:c r="E41" s="13" t="str">
        <x:f>IF(D41="","",IF(AND(D41&gt;=1/9,D41&lt;=9),"ОК","Проверьте"))</x:f>
        <x:v>ОК</x:v>
      </x:c>
    </x:row>
    <x:row r="42">
      <x:c r="A42" s="13" t="str">
        <x:v>C1 Полезность</x:v>
      </x:c>
      <x:c r="B42" s="13" t="str">
        <x:v>A2 Учебные группы</x:v>
      </x:c>
      <x:c r="C42" s="13" t="str">
        <x:v>A3 Студенческие события</x:v>
      </x:c>
      <x:c r="D42" s="14" t="n">
        <x:v>0.5</x:v>
      </x:c>
      <x:c r="E42" s="13" t="str">
        <x:f>IF(D42="","",IF(AND(D42&gt;=1/9,D42&lt;=9),"ОК","Проверьте"))</x:f>
        <x:v>ОК</x:v>
      </x:c>
    </x:row>
    <x:row r="43">
      <x:c r="A43" s="13" t="str">
        <x:v>C1 Полезность</x:v>
      </x:c>
      <x:c r="B43" s="13" t="str">
        <x:v>A2 Учебные группы</x:v>
      </x:c>
      <x:c r="C43" s="13" t="str">
        <x:v>A4 Волонтёрские смены</x:v>
      </x:c>
      <x:c r="D43" s="14" t="n">
        <x:v>1</x:v>
      </x:c>
      <x:c r="E43" s="13" t="str">
        <x:f>IF(D43="","",IF(AND(D43&gt;=1/9,D43&lt;=9),"ОК","Проверьте"))</x:f>
        <x:v>ОК</x:v>
      </x:c>
    </x:row>
    <x:row r="44">
      <x:c r="A44" s="13" t="str">
        <x:v>C1 Полезность</x:v>
      </x:c>
      <x:c r="B44" s="13" t="str">
        <x:v>A3 Студенческие события</x:v>
      </x:c>
      <x:c r="C44" s="13" t="str">
        <x:v>A4 Волонтёрские смены</x:v>
      </x:c>
      <x:c r="D44" s="14" t="n">
        <x:v>1</x:v>
      </x:c>
      <x:c r="E44" s="13" t="str">
        <x:f>IF(D44="","",IF(AND(D44&gt;=1/9,D44&lt;=9),"ОК","Проверьте"))</x:f>
        <x:v>ОК</x:v>
      </x:c>
    </x:row>
    <x:row r="45">
      <x:c r="A45" s="13" t="str">
        <x:v>C2 Реализуемость</x:v>
      </x:c>
      <x:c r="B45" s="13" t="str">
        <x:v>A1 Бронирование помещений</x:v>
      </x:c>
      <x:c r="C45" s="13" t="str">
        <x:v>A2 Учебные группы</x:v>
      </x:c>
      <x:c r="D45" s="14" t="n">
        <x:v>0.5</x:v>
      </x:c>
      <x:c r="E45" s="13" t="str">
        <x:f>IF(D45="","",IF(AND(D45&gt;=1/9,D45&lt;=9),"ОК","Проверьте"))</x:f>
        <x:v>ОК</x:v>
      </x:c>
    </x:row>
    <x:row r="46">
      <x:c r="A46" s="13" t="str">
        <x:v>C2 Реализуемость</x:v>
      </x:c>
      <x:c r="B46" s="13" t="str">
        <x:v>A1 Бронирование помещений</x:v>
      </x:c>
      <x:c r="C46" s="13" t="str">
        <x:v>A3 Студенческие события</x:v>
      </x:c>
      <x:c r="D46" s="14" t="n">
        <x:v>1</x:v>
      </x:c>
      <x:c r="E46" s="13" t="str">
        <x:f>IF(D46="","",IF(AND(D46&gt;=1/9,D46&lt;=9),"ОК","Проверьте"))</x:f>
        <x:v>ОК</x:v>
      </x:c>
    </x:row>
    <x:row r="47">
      <x:c r="A47" s="13" t="str">
        <x:v>C2 Реализуемость</x:v>
      </x:c>
      <x:c r="B47" s="13" t="str">
        <x:v>A1 Бронирование помещений</x:v>
      </x:c>
      <x:c r="C47" s="13" t="str">
        <x:v>A4 Волонтёрские смены</x:v>
      </x:c>
      <x:c r="D47" s="14" t="n">
        <x:v>1</x:v>
      </x:c>
      <x:c r="E47" s="13" t="str">
        <x:f>IF(D47="","",IF(AND(D47&gt;=1/9,D47&lt;=9),"ОК","Проверьте"))</x:f>
        <x:v>ОК</x:v>
      </x:c>
    </x:row>
    <x:row r="48">
      <x:c r="A48" s="13" t="str">
        <x:v>C2 Реализуемость</x:v>
      </x:c>
      <x:c r="B48" s="13" t="str">
        <x:v>A2 Учебные группы</x:v>
      </x:c>
      <x:c r="C48" s="13" t="str">
        <x:v>A3 Студенческие события</x:v>
      </x:c>
      <x:c r="D48" s="14" t="n">
        <x:v>1</x:v>
      </x:c>
      <x:c r="E48" s="13" t="str">
        <x:f>IF(D48="","",IF(AND(D48&gt;=1/9,D48&lt;=9),"ОК","Проверьте"))</x:f>
        <x:v>ОК</x:v>
      </x:c>
    </x:row>
    <x:row r="49">
      <x:c r="A49" s="13" t="str">
        <x:v>C2 Реализуемость</x:v>
      </x:c>
      <x:c r="B49" s="13" t="str">
        <x:v>A2 Учебные группы</x:v>
      </x:c>
      <x:c r="C49" s="13" t="str">
        <x:v>A4 Волонтёрские смены</x:v>
      </x:c>
      <x:c r="D49" s="14" t="n">
        <x:v>2</x:v>
      </x:c>
      <x:c r="E49" s="13" t="str">
        <x:f>IF(D49="","",IF(AND(D49&gt;=1/9,D49&lt;=9),"ОК","Проверьте"))</x:f>
        <x:v>ОК</x:v>
      </x:c>
    </x:row>
    <x:row r="50">
      <x:c r="A50" s="13" t="str">
        <x:v>C2 Реализуемость</x:v>
      </x:c>
      <x:c r="B50" s="13" t="str">
        <x:v>A3 Студенческие события</x:v>
      </x:c>
      <x:c r="C50" s="13" t="str">
        <x:v>A4 Волонтёрские смены</x:v>
      </x:c>
      <x:c r="D50" s="14" t="n">
        <x:v>1</x:v>
      </x:c>
      <x:c r="E50" s="13" t="str">
        <x:f>IF(D50="","",IF(AND(D50&gt;=1/9,D50&lt;=9),"ОК","Проверьте"))</x:f>
        <x:v>ОК</x:v>
      </x:c>
    </x:row>
    <x:row r="51">
      <x:c r="A51" s="13" t="str">
        <x:v>C3 Ясность сценариев</x:v>
      </x:c>
      <x:c r="B51" s="13" t="str">
        <x:v>A1 Бронирование помещений</x:v>
      </x:c>
      <x:c r="C51" s="13" t="str">
        <x:v>A2 Учебные группы</x:v>
      </x:c>
      <x:c r="D51" s="14" t="n">
        <x:v>1</x:v>
      </x:c>
      <x:c r="E51" s="13" t="str">
        <x:f>IF(D51="","",IF(AND(D51&gt;=1/9,D51&lt;=9),"ОК","Проверьте"))</x:f>
        <x:v>ОК</x:v>
      </x:c>
    </x:row>
    <x:row r="52">
      <x:c r="A52" s="13" t="str">
        <x:v>C3 Ясность сценариев</x:v>
      </x:c>
      <x:c r="B52" s="13" t="str">
        <x:v>A1 Бронирование помещений</x:v>
      </x:c>
      <x:c r="C52" s="13" t="str">
        <x:v>A3 Студенческие события</x:v>
      </x:c>
      <x:c r="D52" s="14" t="n">
        <x:v>1</x:v>
      </x:c>
      <x:c r="E52" s="13" t="str">
        <x:f>IF(D52="","",IF(AND(D52&gt;=1/9,D52&lt;=9),"ОК","Проверьте"))</x:f>
        <x:v>ОК</x:v>
      </x:c>
    </x:row>
    <x:row r="53">
      <x:c r="A53" s="13" t="str">
        <x:v>C3 Ясность сценариев</x:v>
      </x:c>
      <x:c r="B53" s="13" t="str">
        <x:v>A1 Бронирование помещений</x:v>
      </x:c>
      <x:c r="C53" s="13" t="str">
        <x:v>A4 Волонтёрские смены</x:v>
      </x:c>
      <x:c r="D53" s="14" t="n">
        <x:v>1</x:v>
      </x:c>
      <x:c r="E53" s="13" t="str">
        <x:f>IF(D53="","",IF(AND(D53&gt;=1/9,D53&lt;=9),"ОК","Проверьте"))</x:f>
        <x:v>ОК</x:v>
      </x:c>
    </x:row>
    <x:row r="54">
      <x:c r="A54" s="13" t="str">
        <x:v>C3 Ясность сценариев</x:v>
      </x:c>
      <x:c r="B54" s="13" t="str">
        <x:v>A2 Учебные группы</x:v>
      </x:c>
      <x:c r="C54" s="13" t="str">
        <x:v>A3 Студенческие события</x:v>
      </x:c>
      <x:c r="D54" s="14" t="n">
        <x:v>0.5</x:v>
      </x:c>
      <x:c r="E54" s="13" t="str">
        <x:f>IF(D54="","",IF(AND(D54&gt;=1/9,D54&lt;=9),"ОК","Проверьте"))</x:f>
        <x:v>ОК</x:v>
      </x:c>
    </x:row>
    <x:row r="55">
      <x:c r="A55" s="13" t="str">
        <x:v>C3 Ясность сценариев</x:v>
      </x:c>
      <x:c r="B55" s="13" t="str">
        <x:v>A2 Учебные группы</x:v>
      </x:c>
      <x:c r="C55" s="13" t="str">
        <x:v>A4 Волонтёрские смены</x:v>
      </x:c>
      <x:c r="D55" s="14" t="n">
        <x:v>1</x:v>
      </x:c>
      <x:c r="E55" s="13" t="str">
        <x:f>IF(D55="","",IF(AND(D55&gt;=1/9,D55&lt;=9),"ОК","Проверьте"))</x:f>
        <x:v>ОК</x:v>
      </x:c>
    </x:row>
    <x:row r="56">
      <x:c r="A56" s="13" t="str">
        <x:v>C3 Ясность сценариев</x:v>
      </x:c>
      <x:c r="B56" s="13" t="str">
        <x:v>A3 Студенческие события</x:v>
      </x:c>
      <x:c r="C56" s="13" t="str">
        <x:v>A4 Волонтёрские смены</x:v>
      </x:c>
      <x:c r="D56" s="14" t="n">
        <x:v>2</x:v>
      </x:c>
      <x:c r="E56" s="13" t="str">
        <x:f>IF(D56="","",IF(AND(D56&gt;=1/9,D56&lt;=9),"ОК","Проверьте"))</x:f>
        <x:v>ОК</x:v>
      </x:c>
    </x:row>
    <x:row r="57">
      <x:c r="A57" s="13" t="str">
        <x:v>C4 Пригодность для планирования</x:v>
      </x:c>
      <x:c r="B57" s="13" t="str">
        <x:v>A1 Бронирование помещений</x:v>
      </x:c>
      <x:c r="C57" s="13" t="str">
        <x:v>A2 Учебные группы</x:v>
      </x:c>
      <x:c r="D57" s="14" t="n">
        <x:v>2</x:v>
      </x:c>
      <x:c r="E57" s="13" t="str">
        <x:f>IF(D57="","",IF(AND(D57&gt;=1/9,D57&lt;=9),"ОК","Проверьте"))</x:f>
        <x:v>ОК</x:v>
      </x:c>
    </x:row>
    <x:row r="58">
      <x:c r="A58" s="13" t="str">
        <x:v>C4 Пригодность для планирования</x:v>
      </x:c>
      <x:c r="B58" s="13" t="str">
        <x:v>A1 Бронирование помещений</x:v>
      </x:c>
      <x:c r="C58" s="13" t="str">
        <x:v>A3 Студенческие события</x:v>
      </x:c>
      <x:c r="D58" s="14" t="n">
        <x:v>1</x:v>
      </x:c>
      <x:c r="E58" s="13" t="str">
        <x:f>IF(D58="","",IF(AND(D58&gt;=1/9,D58&lt;=9),"ОК","Проверьте"))</x:f>
        <x:v>ОК</x:v>
      </x:c>
    </x:row>
    <x:row r="59">
      <x:c r="A59" s="13" t="str">
        <x:v>C4 Пригодность для планирования</x:v>
      </x:c>
      <x:c r="B59" s="13" t="str">
        <x:v>A1 Бронирование помещений</x:v>
      </x:c>
      <x:c r="C59" s="13" t="str">
        <x:v>A4 Волонтёрские смены</x:v>
      </x:c>
      <x:c r="D59" s="14" t="n">
        <x:v>0.5</x:v>
      </x:c>
      <x:c r="E59" s="13" t="str">
        <x:f>IF(D59="","",IF(AND(D59&gt;=1/9,D59&lt;=9),"ОК","Проверьте"))</x:f>
        <x:v>ОК</x:v>
      </x:c>
    </x:row>
    <x:row r="60">
      <x:c r="A60" s="13" t="str">
        <x:v>C4 Пригодность для планирования</x:v>
      </x:c>
      <x:c r="B60" s="13" t="str">
        <x:v>A2 Учебные группы</x:v>
      </x:c>
      <x:c r="C60" s="13" t="str">
        <x:v>A3 Студенческие события</x:v>
      </x:c>
      <x:c r="D60" s="14" t="n">
        <x:v>0.5</x:v>
      </x:c>
      <x:c r="E60" s="13" t="str">
        <x:f>IF(D60="","",IF(AND(D60&gt;=1/9,D60&lt;=9),"ОК","Проверьте"))</x:f>
        <x:v>ОК</x:v>
      </x:c>
    </x:row>
    <x:row r="61">
      <x:c r="A61" s="13" t="str">
        <x:v>C4 Пригодность для планирования</x:v>
      </x:c>
      <x:c r="B61" s="13" t="str">
        <x:v>A2 Учебные группы</x:v>
      </x:c>
      <x:c r="C61" s="13" t="str">
        <x:v>A4 Волонтёрские смены</x:v>
      </x:c>
      <x:c r="D61" s="14" t="n">
        <x:v>0.3333333333333333</x:v>
      </x:c>
      <x:c r="E61" s="13" t="str">
        <x:f>IF(D61="","",IF(AND(D61&gt;=1/9,D61&lt;=9),"ОК","Проверьте"))</x:f>
        <x:v>ОК</x:v>
      </x:c>
    </x:row>
    <x:row r="62">
      <x:c r="A62" s="13" t="str">
        <x:v>C4 Пригодность для планирования</x:v>
      </x:c>
      <x:c r="B62" s="13" t="str">
        <x:v>A3 Студенческие события</x:v>
      </x:c>
      <x:c r="C62" s="13" t="str">
        <x:v>A4 Волонтёрские смены</x:v>
      </x:c>
      <x:c r="D62" s="14" t="n">
        <x:v>1</x:v>
      </x:c>
      <x:c r="E62" s="13" t="str">
        <x:f>IF(D62="","",IF(AND(D62&gt;=1/9,D62&lt;=9),"ОК","Проверьте"))</x:f>
        <x:v>ОК</x:v>
      </x:c>
    </x:row>
  </x:sheetData>
  <x:mergeCells>
    <x:mergeCell ref="A1:G1"/>
    <x:mergeCell ref="A4:G4"/>
    <x:mergeCell ref="A5:G5"/>
    <x:mergeCell ref="A29:G29"/>
    <x:mergeCell ref="A30:G30"/>
  </x:mergeCells>
  <x:pageMargins left="0.7" right="0.7" top="0.75" bottom="0.75" header="0.3" footer="0.3"/>
</x:worksheet>
</file>