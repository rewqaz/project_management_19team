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1430d70ab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2090a2ecc86e4a61"/>
    <x:sheet xmlns:r="http://schemas.openxmlformats.org/officeDocument/2006/relationships" name="TOPSIS" sheetId="2" r:id="R2adddde3245b44bd"/>
    <x:sheet xmlns:r="http://schemas.openxmlformats.org/officeDocument/2006/relationships" name="МАИ" sheetId="3" r:id="Re4031962696c458c"/>
    <x:sheet xmlns:r="http://schemas.openxmlformats.org/officeDocument/2006/relationships" name="Эксперт 1" sheetId="4" r:id="R029828f6c2644e83"/>
    <x:sheet xmlns:r="http://schemas.openxmlformats.org/officeDocument/2006/relationships" name="Эксперт 2" sheetId="5" r:id="Re144f0266c2c447a"/>
    <x:sheet xmlns:r="http://schemas.openxmlformats.org/officeDocument/2006/relationships" name="Эксперт 3" sheetId="6" r:id="Rd93ac47167314f92"/>
    <x:sheet xmlns:r="http://schemas.openxmlformats.org/officeDocument/2006/relationships" name="Эксперт 4" sheetId="7" r:id="Rd4816d513bf0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8">
    <x:font>
      <x:sz val="11"/>
      <x:name val="Carlito"/>
    </x:font>
    <x:font>
      <x:b/>
      <x:sz val="16"/>
      <x:color rgb="FFFFFFFF"/>
      <x:name val="Aptos"/>
    </x:font>
    <x:font>
      <x:b/>
      <x:sz val="12"/>
      <x:name val="Aptos"/>
    </x:font>
    <x:font>
      <x:sz val="11"/>
      <x:color rgb="FF222222"/>
      <x:name val="Aptos"/>
    </x:font>
    <x:font>
      <x:b/>
      <x:sz val="11"/>
      <x:color rgb="FF000000"/>
      <x:name val="Aptos"/>
    </x:font>
    <x:font>
      <x:b/>
      <x:sz val="15"/>
      <x:color rgb="FFFFFFFF"/>
      <x:name val="Aptos"/>
    </x:font>
    <x:font>
      <x:b/>
      <x:sz val="10"/>
      <x:color rgb="FF000000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CE6F1"/>
      </x:patternFill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0" fontId="6" fillId="3" borderId="0" xfId="0" applyNumberFormat="1" applyFont="1" applyFill="1" applyBorder="1"/>
    <x:xf numFmtId="201" fontId="7" fillId="0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81dca401540c4" /><Relationship Type="http://schemas.openxmlformats.org/officeDocument/2006/relationships/theme" Target="/xl/theme/theme1.xml" Id="R3e3ff43dc87e4cdc" /><Relationship Type="http://schemas.openxmlformats.org/officeDocument/2006/relationships/sharedStrings" Target="/xl/sharedStrings.xml" Id="Raf3d33357acd4693" /><Relationship Type="http://schemas.openxmlformats.org/officeDocument/2006/relationships/worksheet" Target="/xl/worksheets/sheet1.xml" Id="R2090a2ecc86e4a61" /><Relationship Type="http://schemas.openxmlformats.org/officeDocument/2006/relationships/worksheet" Target="/xl/worksheets/sheet2.xml" Id="R2adddde3245b44bd" /><Relationship Type="http://schemas.openxmlformats.org/officeDocument/2006/relationships/worksheet" Target="/xl/worksheets/sheet3.xml" Id="Re4031962696c458c" /><Relationship Type="http://schemas.openxmlformats.org/officeDocument/2006/relationships/worksheet" Target="/xl/worksheets/sheet4.xml" Id="R029828f6c2644e83" /><Relationship Type="http://schemas.openxmlformats.org/officeDocument/2006/relationships/worksheet" Target="/xl/worksheets/sheet5.xml" Id="Re144f0266c2c447a" /><Relationship Type="http://schemas.openxmlformats.org/officeDocument/2006/relationships/worksheet" Target="/xl/worksheets/sheet6.xml" Id="Rd93ac47167314f92" /><Relationship Type="http://schemas.openxmlformats.org/officeDocument/2006/relationships/worksheet" Target="/xl/worksheets/sheet7.xml" Id="Rd4816d513bf044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45" hidden="0" customWidth="1"/>
    <x:col min="4" max="4" width="21" hidden="0" customWidth="1"/>
    <x:col min="5" max="5" width="12" hidden="0" customWidth="1"/>
    <x:col min="6" max="6" width="12" hidden="0" customWidth="1"/>
  </x:cols>
  <x:sheetData>
    <x:row r="1">
      <x:c r="A1" s="2" t="str">
        <x:v>Фаза 1 — исходные оценки и результаты</x:v>
      </x:c>
      <x:c r="B1" s="2"/>
      <x:c r="C1" s="2"/>
      <x:c r="D1" s="2"/>
      <x:c r="E1" s="2"/>
      <x:c r="F1" s="2"/>
    </x:row>
    <x:row r="3">
      <x:c r="A3" s="3" t="str">
        <x:v>Состав расчёта</x:v>
      </x:c>
    </x:row>
    <x:row r="5" ht="38" customHeight="1">
      <x:c r="A5" s="4" t="str">
        <x:v>Исходные значения заданы четырьмя сценарными профилями M1–M4; опрос участников не проводился.</x:v>
      </x:c>
      <x:c r="B5" s="4"/>
      <x:c r="C5" s="4"/>
      <x:c r="D5" s="4"/>
      <x:c r="E5" s="4"/>
      <x:c r="F5" s="4"/>
    </x:row>
    <x:row r="6" ht="38" customHeight="1">
      <x:c r="A6" s="4" t="str">
        <x:v>TOPSIS: трёхточечные оценки по шкале 1–9 — осторожная, ожидаемая, благоприятная.</x:v>
      </x:c>
      <x:c r="B6" s="4"/>
      <x:c r="C6" s="4"/>
      <x:c r="D6" s="4"/>
      <x:c r="E6" s="4"/>
      <x:c r="F6" s="4"/>
    </x:row>
    <x:row r="7" ht="38" customHeight="1">
      <x:c r="A7" s="4" t="str">
        <x:v>МАИ: парные сравнения критериев и альтернатив на шкале Саати.</x:v>
      </x:c>
      <x:c r="B7" s="4"/>
      <x:c r="C7" s="4"/>
      <x:c r="D7" s="4"/>
      <x:c r="E7" s="4"/>
      <x:c r="F7" s="4"/>
    </x:row>
    <x:row r="8" ht="38" customHeight="1">
      <x:c r="A8" s="4" t="str">
        <x:v>Расчётные листы TOPSIS и МАИ связаны формулами с четырьмя листами исходных оценок.</x:v>
      </x:c>
      <x:c r="B8" s="4"/>
      <x:c r="C8" s="4"/>
      <x:c r="D8" s="4"/>
      <x:c r="E8" s="4"/>
      <x:c r="F8" s="4"/>
    </x:row>
    <x:row r="9" ht="38" customHeight="1">
      <x:c r="A9" s="4" t="str">
        <x:v>Лист «Итог» отражает результаты обоих методов для заданных исходных значений.</x:v>
      </x:c>
      <x:c r="B9" s="4"/>
      <x:c r="C9" s="4"/>
      <x:c r="D9" s="4"/>
      <x:c r="E9" s="4"/>
      <x:c r="F9" s="4"/>
    </x:row>
    <x:row r="10" ht="38" customHeight="1">
      <x:c r="A10" s="4" t="str">
        <x:v>Фактический состав команды — четыре человека; в тексте задания указаны три.</x:v>
      </x:c>
      <x:c r="B10" s="4"/>
      <x:c r="C10" s="4"/>
      <x:c r="D10" s="4"/>
      <x:c r="E10" s="4"/>
      <x:c r="F10" s="4"/>
    </x:row>
    <x:row r="13">
      <x:c r="A13" s="6" t="str">
        <x:v>Код</x:v>
      </x:c>
      <x:c r="B13" s="6" t="str">
        <x:v>Концепция</x:v>
      </x:c>
      <x:c r="C13" s="6" t="str">
        <x:v>Граница MVP</x:v>
      </x:c>
      <x:c r="D13" s="6" t="str"/>
      <x:c r="E13" s="6" t="str"/>
    </x:row>
    <x:row r="14">
      <x:c r="A14" t="str">
        <x:v>A1</x:v>
      </x:c>
      <x:c r="B14" t="str">
        <x:v>Бронирование учебных помещений</x:v>
      </x:c>
      <x:c r="C14" t="str">
        <x:v>Один кампус, без внешних интеграций</x:v>
      </x:c>
      <x:c r="D14" t="str"/>
      <x:c r="E14" t="str"/>
    </x:row>
    <x:row r="15">
      <x:c r="A15" t="str">
        <x:v>A2</x:v>
      </x:c>
      <x:c r="B15" t="str">
        <x:v>Планирование учебных групп</x:v>
      </x:c>
      <x:c r="C15" t="str">
        <x:v>Один вуз, без видеосвязи</x:v>
      </x:c>
      <x:c r="D15" t="str"/>
      <x:c r="E15" t="str"/>
    </x:row>
    <x:row r="16">
      <x:c r="A16" t="str">
        <x:v>A3</x:v>
      </x:c>
      <x:c r="B16" t="str">
        <x:v>Регистрация на студенческие события</x:v>
      </x:c>
      <x:c r="C16" t="str">
        <x:v>Один факультет, без платежей</x:v>
      </x:c>
      <x:c r="D16" t="str"/>
      <x:c r="E16" t="str"/>
    </x:row>
    <x:row r="17">
      <x:c r="A17" t="str">
        <x:v>A4</x:v>
      </x:c>
      <x:c r="B17" t="str">
        <x:v>Расписание волонтёрских смен</x:v>
      </x:c>
      <x:c r="C17" t="str">
        <x:v>Одна организация, без вознаграждений</x:v>
      </x:c>
      <x:c r="D17" t="str"/>
      <x:c r="E17" t="str"/>
    </x:row>
    <x:row r="20">
      <x:c r="A20" s="6" t="str">
        <x:v>Код</x:v>
      </x:c>
      <x:c r="B20" s="6" t="str">
        <x:v>Критерий</x:v>
      </x:c>
      <x:c r="C20" s="6" t="str">
        <x:v>Направление</x:v>
      </x:c>
    </x:row>
    <x:row r="21">
      <x:c r="A21" t="str">
        <x:v>C1</x:v>
      </x:c>
      <x:c r="B21" t="str">
        <x:v>Полезность</x:v>
      </x:c>
      <x:c r="C21" t="str">
        <x:v>Больше — лучше</x:v>
      </x:c>
    </x:row>
    <x:row r="22">
      <x:c r="A22" t="str">
        <x:v>C2</x:v>
      </x:c>
      <x:c r="B22" t="str">
        <x:v>Реализуемость</x:v>
      </x:c>
      <x:c r="C22" t="str">
        <x:v>Больше — лучше</x:v>
      </x:c>
    </x:row>
    <x:row r="23">
      <x:c r="A23" t="str">
        <x:v>C3</x:v>
      </x:c>
      <x:c r="B23" t="str">
        <x:v>Ясность сценариев</x:v>
      </x:c>
      <x:c r="C23" t="str">
        <x:v>Больше — лучше</x:v>
      </x:c>
    </x:row>
    <x:row r="24">
      <x:c r="A24" t="str">
        <x:v>C4</x:v>
      </x:c>
      <x:c r="B24" t="str">
        <x:v>Пригодность для планирования</x:v>
      </x:c>
      <x:c r="C24" t="str">
        <x:v>Больше — лучше</x:v>
      </x:c>
    </x:row>
    <x:row r="27">
      <x:c r="A27" s="6" t="str">
        <x:v>Результаты сравнения</x:v>
      </x:c>
      <x:c r="B27" s="6"/>
      <x:c r="C27" s="6"/>
      <x:c r="D27" s="6"/>
      <x:c r="E27" s="6"/>
      <x:c r="F27" s="6"/>
    </x:row>
    <x:row r="28">
      <x:c r="A28" s="8" t="str">
        <x:v>Код</x:v>
      </x:c>
      <x:c r="B28" s="8" t="str">
        <x:v>Концепция</x:v>
      </x:c>
      <x:c r="C28" s="8" t="str">
        <x:v>CC TOPSIS</x:v>
      </x:c>
      <x:c r="D28" s="8" t="str">
        <x:v>Приоритет МАИ</x:v>
      </x:c>
      <x:c r="E28" s="8" t="str">
        <x:v>Место</x:v>
      </x:c>
    </x:row>
    <x:row r="29">
      <x:c r="A29" t="str">
        <x:v>A1</x:v>
      </x:c>
      <x:c r="B29" t="str">
        <x:v>Бронирование помещений</x:v>
      </x:c>
      <x:c r="C29" s="9" t="n">
        <x:f>'TOPSIS'!D38</x:f>
        <x:v>0.3160411269988924</x:v>
      </x:c>
      <x:c r="D29" s="9" t="n">
        <x:f>'МАИ'!F56</x:f>
        <x:v>0.20940409514677907</x:v>
      </x:c>
      <x:c r="E29" t="n">
        <x:f>'TOPSIS'!E38</x:f>
        <x:v>4</x:v>
      </x:c>
    </x:row>
    <x:row r="30">
      <x:c r="A30" t="str">
        <x:v>A2</x:v>
      </x:c>
      <x:c r="B30" t="str">
        <x:v>Учебные группы</x:v>
      </x:c>
      <x:c r="C30" s="9" t="n">
        <x:f>'TOPSIS'!D39</x:f>
        <x:v>0.39870588170967225</x:v>
      </x:c>
      <x:c r="D30" s="9" t="n">
        <x:f>'МАИ'!F57</x:f>
        <x:v>0.2277835217913446</x:v>
      </x:c>
      <x:c r="E30" t="n">
        <x:f>'TOPSIS'!E39</x:f>
        <x:v>3</x:v>
      </x:c>
    </x:row>
    <x:row r="31">
      <x:c r="A31" t="str">
        <x:v>A3</x:v>
      </x:c>
      <x:c r="B31" t="str">
        <x:v>Студенческие события</x:v>
      </x:c>
      <x:c r="C31" s="9" t="n">
        <x:f>'TOPSIS'!D40</x:f>
        <x:v>0.8228009450757976</x:v>
      </x:c>
      <x:c r="D31" s="9" t="n">
        <x:f>'МАИ'!F58</x:f>
        <x:v>0.3011830787131089</x:v>
      </x:c>
      <x:c r="E31" t="n">
        <x:f>'TOPSIS'!E40</x:f>
        <x:v>1</x:v>
      </x:c>
    </x:row>
    <x:row r="32">
      <x:c r="A32" t="str">
        <x:v>A4</x:v>
      </x:c>
      <x:c r="B32" t="str">
        <x:v>Волонтёрские смены</x:v>
      </x:c>
      <x:c r="C32" s="9" t="n">
        <x:f>'TOPSIS'!D41</x:f>
        <x:v>0.579350742131985</x:v>
      </x:c>
      <x:c r="D32" s="9" t="n">
        <x:f>'МАИ'!F59</x:f>
        <x:v>0.2616293043487676</x:v>
      </x:c>
      <x:c r="E32" t="n">
        <x:f>'TOPSIS'!E41</x:f>
        <x:v>2</x:v>
      </x:c>
    </x:row>
  </x:sheetData>
  <x:mergeCells>
    <x:mergeCell ref="A1:F1"/>
    <x:mergeCell ref="A5:F5"/>
    <x:mergeCell ref="A6:F6"/>
    <x:mergeCell ref="A7:F7"/>
    <x:mergeCell ref="A8:F8"/>
    <x:mergeCell ref="A9:F9"/>
    <x:mergeCell ref="A10:F10"/>
    <x:mergeCell ref="A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0" t="str">
        <x:v>Нечёткий коллективный TOPSIS — расчёт по таблицам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3">
      <x:c r="A3" s="15" t="str">
        <x:v>Критерий</x:v>
      </x:c>
      <x:c r="B3" s="15" t="str">
        <x:v>Вес l</x:v>
      </x:c>
      <x:c r="C3" s="15" t="str">
        <x:v>Вес m</x:v>
      </x:c>
      <x:c r="D3" s="15" t="str">
        <x:v>Вес u</x:v>
      </x:c>
      <x:c r="E3" s="15" t="str">
        <x:v>Норм. l</x:v>
      </x:c>
      <x:c r="F3" s="15" t="str">
        <x:v>Норм. m</x:v>
      </x:c>
      <x:c r="G3" s="15" t="str">
        <x:v>Норм. u</x:v>
      </x:c>
      <x:c r="H3" s="15" t="str">
        <x:v>Делитель Uj</x:v>
      </x:c>
      <x:c r="I3" s="16"/>
      <x:c r="J3" s="16"/>
      <x:c r="K3" s="16"/>
      <x:c r="L3" s="16"/>
    </x:row>
    <x:row r="4">
      <x:c r="A4" s="16" t="str">
        <x:v>C1 Полезность</x:v>
      </x:c>
      <x:c r="B4" s="17" t="n">
        <x:f>AVERAGE('Эксперт 1'!D7,'Эксперт 2'!D7,'Эксперт 3'!D7,'Эксперт 4'!D7)</x:f>
        <x:v>7</x:v>
      </x:c>
      <x:c r="C4" s="17" t="n">
        <x:f>AVERAGE('Эксперт 1'!E7,'Эксперт 2'!E7,'Эксперт 3'!E7,'Эксперт 4'!E7)</x:f>
        <x:v>8</x:v>
      </x:c>
      <x:c r="D4" s="17" t="n">
        <x:f>AVERAGE('Эксперт 1'!F7,'Эксперт 2'!F7,'Эксперт 3'!F7,'Эксперт 4'!F7)</x:f>
        <x:v>8.75</x:v>
      </x:c>
      <x:c r="E4" s="17" t="n">
        <x:f>B4/$D$9</x:f>
        <x:v>0.2153846153846154</x:v>
      </x:c>
      <x:c r="F4" s="17" t="n">
        <x:f>C4/$D$9</x:f>
        <x:v>0.24615384615384617</x:v>
      </x:c>
      <x:c r="G4" s="17" t="n">
        <x:f>D4/$D$9</x:f>
        <x:v>0.2692307692307692</x:v>
      </x:c>
      <x:c r="H4" s="17" t="n">
        <x:f>MAX(E13,E17,E21,E25)</x:f>
        <x:v>9</x:v>
      </x:c>
      <x:c r="I4" s="17"/>
      <x:c r="J4" s="17"/>
      <x:c r="K4" s="17"/>
      <x:c r="L4" s="17"/>
    </x:row>
    <x:row r="5">
      <x:c r="A5" s="16" t="str">
        <x:v>C2 Реализуемость</x:v>
      </x:c>
      <x:c r="B5" s="17" t="n">
        <x:f>AVERAGE('Эксперт 1'!D8,'Эксперт 2'!D8,'Эксперт 3'!D8,'Эксперт 4'!D8)</x:f>
        <x:v>6.75</x:v>
      </x:c>
      <x:c r="C5" s="17" t="n">
        <x:f>AVERAGE('Эксперт 1'!E8,'Эксперт 2'!E8,'Эксперт 3'!E8,'Эксперт 4'!E8)</x:f>
        <x:v>7.75</x:v>
      </x:c>
      <x:c r="D5" s="17" t="n">
        <x:f>AVERAGE('Эксперт 1'!F8,'Эксперт 2'!F8,'Эксперт 3'!F8,'Эксперт 4'!F8)</x:f>
        <x:v>8.5</x:v>
      </x:c>
      <x:c r="E5" s="17" t="n">
        <x:f>B5/$D$9</x:f>
        <x:v>0.2076923076923077</x:v>
      </x:c>
      <x:c r="F5" s="17" t="n">
        <x:f>C5/$D$9</x:f>
        <x:v>0.23846153846153847</x:v>
      </x:c>
      <x:c r="G5" s="17" t="n">
        <x:f>D5/$D$9</x:f>
        <x:v>0.26153846153846155</x:v>
      </x:c>
      <x:c r="H5" s="17" t="n">
        <x:f>MAX(E14,E18,E22,E26)</x:f>
        <x:v>9</x:v>
      </x:c>
      <x:c r="I5" s="17"/>
      <x:c r="J5" s="17"/>
      <x:c r="K5" s="17"/>
      <x:c r="L5" s="17"/>
    </x:row>
    <x:row r="6">
      <x:c r="A6" s="16" t="str">
        <x:v>C3 Ясность сценариев</x:v>
      </x:c>
      <x:c r="B6" s="17" t="n">
        <x:f>AVERAGE('Эксперт 1'!D9,'Эксперт 2'!D9,'Эксперт 3'!D9,'Эксперт 4'!D9)</x:f>
        <x:v>5.5</x:v>
      </x:c>
      <x:c r="C6" s="17" t="n">
        <x:f>AVERAGE('Эксперт 1'!E9,'Эксперт 2'!E9,'Эксперт 3'!E9,'Эксперт 4'!E9)</x:f>
        <x:v>6.5</x:v>
      </x:c>
      <x:c r="D6" s="17" t="n">
        <x:f>AVERAGE('Эксперт 1'!F9,'Эксперт 2'!F9,'Эксперт 3'!F9,'Эксперт 4'!F9)</x:f>
        <x:v>7.5</x:v>
      </x:c>
      <x:c r="E6" s="17" t="n">
        <x:f>B6/$D$9</x:f>
        <x:v>0.16923076923076924</x:v>
      </x:c>
      <x:c r="F6" s="17" t="n">
        <x:f>C6/$D$9</x:f>
        <x:v>0.2</x:v>
      </x:c>
      <x:c r="G6" s="17" t="n">
        <x:f>D6/$D$9</x:f>
        <x:v>0.23076923076923078</x:v>
      </x:c>
      <x:c r="H6" s="17" t="n">
        <x:f>MAX(E15,E19,E23,E27)</x:f>
        <x:v>9</x:v>
      </x:c>
      <x:c r="I6" s="17"/>
      <x:c r="J6" s="17"/>
      <x:c r="K6" s="17"/>
      <x:c r="L6" s="17"/>
    </x:row>
    <x:row r="7">
      <x:c r="A7" s="16" t="str">
        <x:v>C4 Пригодность для планирования</x:v>
      </x:c>
      <x:c r="B7" s="17" t="n">
        <x:f>AVERAGE('Эксперт 1'!D10,'Эксперт 2'!D10,'Эксперт 3'!D10,'Эксперт 4'!D10)</x:f>
        <x:v>6</x:v>
      </x:c>
      <x:c r="C7" s="17" t="n">
        <x:f>AVERAGE('Эксперт 1'!E10,'Эксперт 2'!E10,'Эксперт 3'!E10,'Эксперт 4'!E10)</x:f>
        <x:v>7</x:v>
      </x:c>
      <x:c r="D7" s="17" t="n">
        <x:f>AVERAGE('Эксперт 1'!F10,'Эксперт 2'!F10,'Эксперт 3'!F10,'Эксперт 4'!F10)</x:f>
        <x:v>7.75</x:v>
      </x:c>
      <x:c r="E7" s="17" t="n">
        <x:f>B7/$D$9</x:f>
        <x:v>0.18461538461538463</x:v>
      </x:c>
      <x:c r="F7" s="17" t="n">
        <x:f>C7/$D$9</x:f>
        <x:v>0.2153846153846154</x:v>
      </x:c>
      <x:c r="G7" s="17" t="n">
        <x:f>D7/$D$9</x:f>
        <x:v>0.23846153846153847</x:v>
      </x:c>
      <x:c r="H7" s="17" t="n">
        <x:f>MAX(E16,E20,E24,E28)</x:f>
        <x:v>9</x:v>
      </x:c>
      <x:c r="I7" s="17"/>
      <x:c r="J7" s="17"/>
      <x:c r="K7" s="17"/>
      <x:c r="L7" s="17"/>
    </x:row>
    <x:row r="8">
      <x:c r="A8" s="16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>
      <x:c r="A9" s="16" t="str">
        <x:v>Сумма верхних границ весов</x:v>
      </x:c>
      <x:c r="B9" s="17"/>
      <x:c r="C9" s="17"/>
      <x:c r="D9" s="17" t="n">
        <x:f>SUM(D4:D7)</x:f>
        <x:v>32.5</x:v>
      </x:c>
      <x:c r="E9" s="17"/>
      <x:c r="F9" s="17"/>
      <x:c r="G9" s="17"/>
      <x:c r="H9" s="17"/>
      <x:c r="I9" s="17"/>
      <x:c r="J9" s="17"/>
      <x:c r="K9" s="17"/>
      <x:c r="L9" s="17"/>
    </x:row>
    <x:row r="10">
      <x:c r="A10" s="16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>
      <x:c r="A11" s="16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>
      <x:c r="A12" s="15" t="str">
        <x:v>Альтернатива</x:v>
      </x:c>
      <x:c r="B12" s="18" t="str">
        <x:v>Критерий</x:v>
      </x:c>
      <x:c r="C12" s="18" t="str">
        <x:v>l средн.</x:v>
      </x:c>
      <x:c r="D12" s="18" t="str">
        <x:v>m средн.</x:v>
      </x:c>
      <x:c r="E12" s="18" t="str">
        <x:v>u средн.</x:v>
      </x:c>
      <x:c r="F12" s="18" t="str">
        <x:v>Uj</x:v>
      </x:c>
      <x:c r="G12" s="18" t="str">
        <x:v>r l</x:v>
      </x:c>
      <x:c r="H12" s="18" t="str">
        <x:v>r m</x:v>
      </x:c>
      <x:c r="I12" s="18" t="str">
        <x:v>r u</x:v>
      </x:c>
      <x:c r="J12" s="18" t="str">
        <x:v>v l</x:v>
      </x:c>
      <x:c r="K12" s="18" t="str">
        <x:v>v m</x:v>
      </x:c>
      <x:c r="L12" s="18" t="str">
        <x:v>v u</x:v>
      </x:c>
    </x:row>
    <x:row r="13">
      <x:c r="A13" s="16" t="str">
        <x:v>A1</x:v>
      </x:c>
      <x:c r="B13" s="17" t="str">
        <x:v>C1 Полезность</x:v>
      </x:c>
      <x:c r="C13" s="17" t="n">
        <x:f>AVERAGE('Эксперт 1'!D11,'Эксперт 2'!D11,'Эксперт 3'!D11,'Эксперт 4'!D11)</x:f>
        <x:v>5.75</x:v>
      </x:c>
      <x:c r="D13" s="17" t="n">
        <x:f>AVERAGE('Эксперт 1'!E11,'Эксперт 2'!E11,'Эксперт 3'!E11,'Эксперт 4'!E11)</x:f>
        <x:v>6.75</x:v>
      </x:c>
      <x:c r="E13" s="17" t="n">
        <x:f>AVERAGE('Эксперт 1'!F11,'Эксперт 2'!F11,'Эксперт 3'!F11,'Эксперт 4'!F11)</x:f>
        <x:v>7.75</x:v>
      </x:c>
      <x:c r="F13" s="17" t="n">
        <x:f>$H$4</x:f>
        <x:v>9</x:v>
      </x:c>
      <x:c r="G13" s="17" t="n">
        <x:f>C13/F13</x:f>
        <x:v>0.6388888888888888</x:v>
      </x:c>
      <x:c r="H13" s="17" t="n">
        <x:f>D13/F13</x:f>
        <x:v>0.75</x:v>
      </x:c>
      <x:c r="I13" s="17" t="n">
        <x:f>E13/F13</x:f>
        <x:v>0.8611111111111112</x:v>
      </x:c>
      <x:c r="J13" s="17" t="n">
        <x:f>G13*$E$4</x:f>
        <x:v>0.13760683760683762</x:v>
      </x:c>
      <x:c r="K13" s="17" t="n">
        <x:f>H13*$F$4</x:f>
        <x:v>0.18461538461538463</x:v>
      </x:c>
      <x:c r="L13" s="17" t="n">
        <x:f>I13*$G$4</x:f>
        <x:v>0.23183760683760685</x:v>
      </x:c>
    </x:row>
    <x:row r="14">
      <x:c r="A14" s="16" t="str">
        <x:v>A1</x:v>
      </x:c>
      <x:c r="B14" s="17" t="str">
        <x:v>C2 Реализуемость</x:v>
      </x:c>
      <x:c r="C14" s="17" t="n">
        <x:f>AVERAGE('Эксперт 1'!D12,'Эксперт 2'!D12,'Эксперт 3'!D12,'Эксперт 4'!D12)</x:f>
        <x:v>4.5</x:v>
      </x:c>
      <x:c r="D14" s="17" t="n">
        <x:f>AVERAGE('Эксперт 1'!E12,'Эксперт 2'!E12,'Эксперт 3'!E12,'Эксперт 4'!E12)</x:f>
        <x:v>5.5</x:v>
      </x:c>
      <x:c r="E14" s="17" t="n">
        <x:f>AVERAGE('Эксперт 1'!F12,'Эксперт 2'!F12,'Эксперт 3'!F12,'Эксперт 4'!F12)</x:f>
        <x:v>6.5</x:v>
      </x:c>
      <x:c r="F14" s="17" t="n">
        <x:f>$H$5</x:f>
        <x:v>9</x:v>
      </x:c>
      <x:c r="G14" s="17" t="n">
        <x:f>C14/F14</x:f>
        <x:v>0.5</x:v>
      </x:c>
      <x:c r="H14" s="17" t="n">
        <x:f>D14/F14</x:f>
        <x:v>0.6111111111111112</x:v>
      </x:c>
      <x:c r="I14" s="17" t="n">
        <x:f>E14/F14</x:f>
        <x:v>0.7222222222222222</x:v>
      </x:c>
      <x:c r="J14" s="17" t="n">
        <x:f>G14*$E$5</x:f>
        <x:v>0.10384615384615385</x:v>
      </x:c>
      <x:c r="K14" s="17" t="n">
        <x:f>H14*$F$5</x:f>
        <x:v>0.14572649572649574</x:v>
      </x:c>
      <x:c r="L14" s="17" t="n">
        <x:f>I14*$G$5</x:f>
        <x:v>0.18888888888888888</x:v>
      </x:c>
    </x:row>
    <x:row r="15">
      <x:c r="A15" s="16" t="str">
        <x:v>A1</x:v>
      </x:c>
      <x:c r="B15" s="17" t="str">
        <x:v>C3 Ясность сценариев</x:v>
      </x:c>
      <x:c r="C15" s="17" t="n">
        <x:f>AVERAGE('Эксперт 1'!D13,'Эксперт 2'!D13,'Эксперт 3'!D13,'Эксперт 4'!D13)</x:f>
        <x:v>7.25</x:v>
      </x:c>
      <x:c r="D15" s="17" t="n">
        <x:f>AVERAGE('Эксперт 1'!E13,'Эксперт 2'!E13,'Эксперт 3'!E13,'Эксперт 4'!E13)</x:f>
        <x:v>8.25</x:v>
      </x:c>
      <x:c r="E15" s="17" t="n">
        <x:f>AVERAGE('Эксперт 1'!F13,'Эксперт 2'!F13,'Эксперт 3'!F13,'Эксперт 4'!F13)</x:f>
        <x:v>9</x:v>
      </x:c>
      <x:c r="F15" s="17" t="n">
        <x:f>$H$6</x:f>
        <x:v>9</x:v>
      </x:c>
      <x:c r="G15" s="17" t="n">
        <x:f>C15/F15</x:f>
        <x:v>0.8055555555555556</x:v>
      </x:c>
      <x:c r="H15" s="17" t="n">
        <x:f>D15/F15</x:f>
        <x:v>0.9166666666666666</x:v>
      </x:c>
      <x:c r="I15" s="17" t="n">
        <x:f>E15/F15</x:f>
        <x:v>1</x:v>
      </x:c>
      <x:c r="J15" s="17" t="n">
        <x:f>G15*$E$6</x:f>
        <x:v>0.13632478632478634</x:v>
      </x:c>
      <x:c r="K15" s="17" t="n">
        <x:f>H15*$F$6</x:f>
        <x:v>0.18333333333333335</x:v>
      </x:c>
      <x:c r="L15" s="17" t="n">
        <x:f>I15*$G$6</x:f>
        <x:v>0.23076923076923078</x:v>
      </x:c>
    </x:row>
    <x:row r="16">
      <x:c r="A16" s="16" t="str">
        <x:v>A1</x:v>
      </x:c>
      <x:c r="B16" s="17" t="str">
        <x:v>C4 Пригодность для планирования</x:v>
      </x:c>
      <x:c r="C16" s="17" t="n">
        <x:f>AVERAGE('Эксперт 1'!D14,'Эксперт 2'!D14,'Эксперт 3'!D14,'Эксперт 4'!D14)</x:f>
        <x:v>6</x:v>
      </x:c>
      <x:c r="D16" s="17" t="n">
        <x:f>AVERAGE('Эксперт 1'!E14,'Эксперт 2'!E14,'Эксперт 3'!E14,'Эксперт 4'!E14)</x:f>
        <x:v>7</x:v>
      </x:c>
      <x:c r="E16" s="17" t="n">
        <x:f>AVERAGE('Эксперт 1'!F14,'Эксперт 2'!F14,'Эксперт 3'!F14,'Эксперт 4'!F14)</x:f>
        <x:v>8</x:v>
      </x:c>
      <x:c r="F16" s="17" t="n">
        <x:f>$H$7</x:f>
        <x:v>9</x:v>
      </x:c>
      <x:c r="G16" s="17" t="n">
        <x:f>C16/F16</x:f>
        <x:v>0.6666666666666666</x:v>
      </x:c>
      <x:c r="H16" s="17" t="n">
        <x:f>D16/F16</x:f>
        <x:v>0.7777777777777778</x:v>
      </x:c>
      <x:c r="I16" s="17" t="n">
        <x:f>E16/F16</x:f>
        <x:v>0.8888888888888888</x:v>
      </x:c>
      <x:c r="J16" s="17" t="n">
        <x:f>G16*$E$7</x:f>
        <x:v>0.12307692307692308</x:v>
      </x:c>
      <x:c r="K16" s="17" t="n">
        <x:f>H16*$F$7</x:f>
        <x:v>0.16752136752136754</x:v>
      </x:c>
      <x:c r="L16" s="17" t="n">
        <x:f>I16*$G$7</x:f>
        <x:v>0.21196581196581196</x:v>
      </x:c>
    </x:row>
    <x:row r="17">
      <x:c r="A17" s="16" t="str">
        <x:v>A2</x:v>
      </x:c>
      <x:c r="B17" s="17" t="str">
        <x:v>C1 Полезность</x:v>
      </x:c>
      <x:c r="C17" s="17" t="n">
        <x:f>AVERAGE('Эксперт 1'!D15,'Эксперт 2'!D15,'Эксперт 3'!D15,'Эксперт 4'!D15)</x:f>
        <x:v>6.25</x:v>
      </x:c>
      <x:c r="D17" s="17" t="n">
        <x:f>AVERAGE('Эксперт 1'!E15,'Эксперт 2'!E15,'Эксперт 3'!E15,'Эксперт 4'!E15)</x:f>
        <x:v>7.25</x:v>
      </x:c>
      <x:c r="E17" s="17" t="n">
        <x:f>AVERAGE('Эксперт 1'!F15,'Эксперт 2'!F15,'Эксперт 3'!F15,'Эксперт 4'!F15)</x:f>
        <x:v>8.25</x:v>
      </x:c>
      <x:c r="F17" s="17" t="n">
        <x:f>$H$4</x:f>
        <x:v>9</x:v>
      </x:c>
      <x:c r="G17" s="17" t="n">
        <x:f>C17/F17</x:f>
        <x:v>0.6944444444444444</x:v>
      </x:c>
      <x:c r="H17" s="17" t="n">
        <x:f>D17/F17</x:f>
        <x:v>0.8055555555555556</x:v>
      </x:c>
      <x:c r="I17" s="17" t="n">
        <x:f>E17/F17</x:f>
        <x:v>0.9166666666666666</x:v>
      </x:c>
      <x:c r="J17" s="17" t="n">
        <x:f>G17*$E$4</x:f>
        <x:v>0.14957264957264957</x:v>
      </x:c>
      <x:c r="K17" s="17" t="n">
        <x:f>H17*$F$4</x:f>
        <x:v>0.1982905982905983</x:v>
      </x:c>
      <x:c r="L17" s="17" t="n">
        <x:f>I17*$G$4</x:f>
        <x:v>0.24679487179487178</x:v>
      </x:c>
    </x:row>
    <x:row r="18">
      <x:c r="A18" s="16" t="str">
        <x:v>A2</x:v>
      </x:c>
      <x:c r="B18" s="17" t="str">
        <x:v>C2 Реализуемость</x:v>
      </x:c>
      <x:c r="C18" s="17" t="n">
        <x:f>AVERAGE('Эксперт 1'!D16,'Эксперт 2'!D16,'Эксперт 3'!D16,'Эксперт 4'!D16)</x:f>
        <x:v>7.25</x:v>
      </x:c>
      <x:c r="D18" s="17" t="n">
        <x:f>AVERAGE('Эксперт 1'!E16,'Эксперт 2'!E16,'Эксперт 3'!E16,'Эксперт 4'!E16)</x:f>
        <x:v>8.25</x:v>
      </x:c>
      <x:c r="E18" s="17" t="n">
        <x:f>AVERAGE('Эксперт 1'!F16,'Эксперт 2'!F16,'Эксперт 3'!F16,'Эксперт 4'!F16)</x:f>
        <x:v>9</x:v>
      </x:c>
      <x:c r="F18" s="17" t="n">
        <x:f>$H$5</x:f>
        <x:v>9</x:v>
      </x:c>
      <x:c r="G18" s="17" t="n">
        <x:f>C18/F18</x:f>
        <x:v>0.8055555555555556</x:v>
      </x:c>
      <x:c r="H18" s="17" t="n">
        <x:f>D18/F18</x:f>
        <x:v>0.9166666666666666</x:v>
      </x:c>
      <x:c r="I18" s="17" t="n">
        <x:f>E18/F18</x:f>
        <x:v>1</x:v>
      </x:c>
      <x:c r="J18" s="17" t="n">
        <x:f>G18*$E$5</x:f>
        <x:v>0.16730769230769232</x:v>
      </x:c>
      <x:c r="K18" s="17" t="n">
        <x:f>H18*$F$5</x:f>
        <x:v>0.2185897435897436</x:v>
      </x:c>
      <x:c r="L18" s="17" t="n">
        <x:f>I18*$G$5</x:f>
        <x:v>0.26153846153846155</x:v>
      </x:c>
    </x:row>
    <x:row r="19">
      <x:c r="A19" s="16" t="str">
        <x:v>A2</x:v>
      </x:c>
      <x:c r="B19" s="17" t="str">
        <x:v>C3 Ясность сценариев</x:v>
      </x:c>
      <x:c r="C19" s="17" t="n">
        <x:f>AVERAGE('Эксперт 1'!D17,'Эксперт 2'!D17,'Эксперт 3'!D17,'Эксперт 4'!D17)</x:f>
        <x:v>5.25</x:v>
      </x:c>
      <x:c r="D19" s="17" t="n">
        <x:f>AVERAGE('Эксперт 1'!E17,'Эксперт 2'!E17,'Эксперт 3'!E17,'Эксперт 4'!E17)</x:f>
        <x:v>6.25</x:v>
      </x:c>
      <x:c r="E19" s="17" t="n">
        <x:f>AVERAGE('Эксперт 1'!F17,'Эксперт 2'!F17,'Эксперт 3'!F17,'Эксперт 4'!F17)</x:f>
        <x:v>7.25</x:v>
      </x:c>
      <x:c r="F19" s="17" t="n">
        <x:f>$H$6</x:f>
        <x:v>9</x:v>
      </x:c>
      <x:c r="G19" s="17" t="n">
        <x:f>C19/F19</x:f>
        <x:v>0.5833333333333334</x:v>
      </x:c>
      <x:c r="H19" s="17" t="n">
        <x:f>D19/F19</x:f>
        <x:v>0.6944444444444444</x:v>
      </x:c>
      <x:c r="I19" s="17" t="n">
        <x:f>E19/F19</x:f>
        <x:v>0.8055555555555556</x:v>
      </x:c>
      <x:c r="J19" s="17" t="n">
        <x:f>G19*$E$6</x:f>
        <x:v>0.09871794871794873</x:v>
      </x:c>
      <x:c r="K19" s="17" t="n">
        <x:f>H19*$F$6</x:f>
        <x:v>0.1388888888888889</x:v>
      </x:c>
      <x:c r="L19" s="17" t="n">
        <x:f>I19*$G$6</x:f>
        <x:v>0.1858974358974359</x:v>
      </x:c>
    </x:row>
    <x:row r="20">
      <x:c r="A20" s="16" t="str">
        <x:v>A2</x:v>
      </x:c>
      <x:c r="B20" s="17" t="str">
        <x:v>C4 Пригодность для планирования</x:v>
      </x:c>
      <x:c r="C20" s="17" t="n">
        <x:f>AVERAGE('Эксперт 1'!D18,'Эксперт 2'!D18,'Эксперт 3'!D18,'Эксперт 4'!D18)</x:f>
        <x:v>5</x:v>
      </x:c>
      <x:c r="D20" s="17" t="n">
        <x:f>AVERAGE('Эксперт 1'!E18,'Эксперт 2'!E18,'Эксперт 3'!E18,'Эксперт 4'!E18)</x:f>
        <x:v>6</x:v>
      </x:c>
      <x:c r="E20" s="17" t="n">
        <x:f>AVERAGE('Эксперт 1'!F18,'Эксперт 2'!F18,'Эксперт 3'!F18,'Эксперт 4'!F18)</x:f>
        <x:v>7</x:v>
      </x:c>
      <x:c r="F20" s="17" t="n">
        <x:f>$H$7</x:f>
        <x:v>9</x:v>
      </x:c>
      <x:c r="G20" s="17" t="n">
        <x:f>C20/F20</x:f>
        <x:v>0.5555555555555556</x:v>
      </x:c>
      <x:c r="H20" s="17" t="n">
        <x:f>D20/F20</x:f>
        <x:v>0.6666666666666666</x:v>
      </x:c>
      <x:c r="I20" s="17" t="n">
        <x:f>E20/F20</x:f>
        <x:v>0.7777777777777778</x:v>
      </x:c>
      <x:c r="J20" s="17" t="n">
        <x:f>G20*$E$7</x:f>
        <x:v>0.10256410256410257</x:v>
      </x:c>
      <x:c r="K20" s="17" t="n">
        <x:f>H20*$F$7</x:f>
        <x:v>0.14358974358974358</x:v>
      </x:c>
      <x:c r="L20" s="17" t="n">
        <x:f>I20*$G$7</x:f>
        <x:v>0.18547008547008548</x:v>
      </x:c>
    </x:row>
    <x:row r="21">
      <x:c r="A21" s="16" t="str">
        <x:v>A3</x:v>
      </x:c>
      <x:c r="B21" s="17" t="str">
        <x:v>C1 Полезность</x:v>
      </x:c>
      <x:c r="C21" s="17" t="n">
        <x:f>AVERAGE('Эксперт 1'!D19,'Эксперт 2'!D19,'Эксперт 3'!D19,'Эксперт 4'!D19)</x:f>
        <x:v>7.25</x:v>
      </x:c>
      <x:c r="D21" s="17" t="n">
        <x:f>AVERAGE('Эксперт 1'!E19,'Эксперт 2'!E19,'Эксперт 3'!E19,'Эксперт 4'!E19)</x:f>
        <x:v>8.25</x:v>
      </x:c>
      <x:c r="E21" s="17" t="n">
        <x:f>AVERAGE('Эксперт 1'!F19,'Эксперт 2'!F19,'Эксперт 3'!F19,'Эксперт 4'!F19)</x:f>
        <x:v>9</x:v>
      </x:c>
      <x:c r="F21" s="17" t="n">
        <x:f>$H$4</x:f>
        <x:v>9</x:v>
      </x:c>
      <x:c r="G21" s="17" t="n">
        <x:f>C21/F21</x:f>
        <x:v>0.8055555555555556</x:v>
      </x:c>
      <x:c r="H21" s="17" t="n">
        <x:f>D21/F21</x:f>
        <x:v>0.9166666666666666</x:v>
      </x:c>
      <x:c r="I21" s="17" t="n">
        <x:f>E21/F21</x:f>
        <x:v>1</x:v>
      </x:c>
      <x:c r="J21" s="17" t="n">
        <x:f>G21*$E$4</x:f>
        <x:v>0.17350427350427353</x:v>
      </x:c>
      <x:c r="K21" s="17" t="n">
        <x:f>H21*$F$4</x:f>
        <x:v>0.22564102564102564</x:v>
      </x:c>
      <x:c r="L21" s="17" t="n">
        <x:f>I21*$G$4</x:f>
        <x:v>0.2692307692307692</x:v>
      </x:c>
    </x:row>
    <x:row r="22">
      <x:c r="A22" s="16" t="str">
        <x:v>A3</x:v>
      </x:c>
      <x:c r="B22" s="17" t="str">
        <x:v>C2 Реализуемость</x:v>
      </x:c>
      <x:c r="C22" s="17" t="n">
        <x:f>AVERAGE('Эксперт 1'!D20,'Эксперт 2'!D20,'Эксперт 3'!D20,'Эксперт 4'!D20)</x:f>
        <x:v>6.25</x:v>
      </x:c>
      <x:c r="D22" s="17" t="n">
        <x:f>AVERAGE('Эксперт 1'!E20,'Эксперт 2'!E20,'Эксперт 3'!E20,'Эксперт 4'!E20)</x:f>
        <x:v>7.25</x:v>
      </x:c>
      <x:c r="E22" s="17" t="n">
        <x:f>AVERAGE('Эксперт 1'!F20,'Эксперт 2'!F20,'Эксперт 3'!F20,'Эксперт 4'!F20)</x:f>
        <x:v>8.25</x:v>
      </x:c>
      <x:c r="F22" s="17" t="n">
        <x:f>$H$5</x:f>
        <x:v>9</x:v>
      </x:c>
      <x:c r="G22" s="17" t="n">
        <x:f>C22/F22</x:f>
        <x:v>0.6944444444444444</x:v>
      </x:c>
      <x:c r="H22" s="17" t="n">
        <x:f>D22/F22</x:f>
        <x:v>0.8055555555555556</x:v>
      </x:c>
      <x:c r="I22" s="17" t="n">
        <x:f>E22/F22</x:f>
        <x:v>0.9166666666666666</x:v>
      </x:c>
      <x:c r="J22" s="17" t="n">
        <x:f>G22*$E$5</x:f>
        <x:v>0.14423076923076925</x:v>
      </x:c>
      <x:c r="K22" s="17" t="n">
        <x:f>H22*$F$5</x:f>
        <x:v>0.1920940170940171</x:v>
      </x:c>
      <x:c r="L22" s="17" t="n">
        <x:f>I22*$G$5</x:f>
        <x:v>0.23974358974358975</x:v>
      </x:c>
    </x:row>
    <x:row r="23">
      <x:c r="A23" s="16" t="str">
        <x:v>A3</x:v>
      </x:c>
      <x:c r="B23" s="17" t="str">
        <x:v>C3 Ясность сценариев</x:v>
      </x:c>
      <x:c r="C23" s="17" t="n">
        <x:f>AVERAGE('Эксперт 1'!D21,'Эксперт 2'!D21,'Эксперт 3'!D21,'Эксперт 4'!D21)</x:f>
        <x:v>7.25</x:v>
      </x:c>
      <x:c r="D23" s="17" t="n">
        <x:f>AVERAGE('Эксперт 1'!E21,'Эксперт 2'!E21,'Эксперт 3'!E21,'Эксперт 4'!E21)</x:f>
        <x:v>8.25</x:v>
      </x:c>
      <x:c r="E23" s="17" t="n">
        <x:f>AVERAGE('Эксперт 1'!F21,'Эксперт 2'!F21,'Эксперт 3'!F21,'Эксперт 4'!F21)</x:f>
        <x:v>9</x:v>
      </x:c>
      <x:c r="F23" s="17" t="n">
        <x:f>$H$6</x:f>
        <x:v>9</x:v>
      </x:c>
      <x:c r="G23" s="17" t="n">
        <x:f>C23/F23</x:f>
        <x:v>0.8055555555555556</x:v>
      </x:c>
      <x:c r="H23" s="17" t="n">
        <x:f>D23/F23</x:f>
        <x:v>0.9166666666666666</x:v>
      </x:c>
      <x:c r="I23" s="17" t="n">
        <x:f>E23/F23</x:f>
        <x:v>1</x:v>
      </x:c>
      <x:c r="J23" s="17" t="n">
        <x:f>G23*$E$6</x:f>
        <x:v>0.13632478632478634</x:v>
      </x:c>
      <x:c r="K23" s="17" t="n">
        <x:f>H23*$F$6</x:f>
        <x:v>0.18333333333333335</x:v>
      </x:c>
      <x:c r="L23" s="17" t="n">
        <x:f>I23*$G$6</x:f>
        <x:v>0.23076923076923078</x:v>
      </x:c>
    </x:row>
    <x:row r="24">
      <x:c r="A24" s="16" t="str">
        <x:v>A3</x:v>
      </x:c>
      <x:c r="B24" s="17" t="str">
        <x:v>C4 Пригодность для планирования</x:v>
      </x:c>
      <x:c r="C24" s="17" t="n">
        <x:f>AVERAGE('Эксперт 1'!D22,'Эксперт 2'!D22,'Эксперт 3'!D22,'Эксперт 4'!D22)</x:f>
        <x:v>7</x:v>
      </x:c>
      <x:c r="D24" s="17" t="n">
        <x:f>AVERAGE('Эксперт 1'!E22,'Эксперт 2'!E22,'Эксперт 3'!E22,'Эксперт 4'!E22)</x:f>
        <x:v>8</x:v>
      </x:c>
      <x:c r="E24" s="17" t="n">
        <x:f>AVERAGE('Эксперт 1'!F22,'Эксперт 2'!F22,'Эксперт 3'!F22,'Эксперт 4'!F22)</x:f>
        <x:v>9</x:v>
      </x:c>
      <x:c r="F24" s="17" t="n">
        <x:f>$H$7</x:f>
        <x:v>9</x:v>
      </x:c>
      <x:c r="G24" s="17" t="n">
        <x:f>C24/F24</x:f>
        <x:v>0.7777777777777778</x:v>
      </x:c>
      <x:c r="H24" s="17" t="n">
        <x:f>D24/F24</x:f>
        <x:v>0.8888888888888888</x:v>
      </x:c>
      <x:c r="I24" s="17" t="n">
        <x:f>E24/F24</x:f>
        <x:v>1</x:v>
      </x:c>
      <x:c r="J24" s="17" t="n">
        <x:f>G24*$E$7</x:f>
        <x:v>0.1435897435897436</x:v>
      </x:c>
      <x:c r="K24" s="17" t="n">
        <x:f>H24*$F$7</x:f>
        <x:v>0.19145299145299147</x:v>
      </x:c>
      <x:c r="L24" s="17" t="n">
        <x:f>I24*$G$7</x:f>
        <x:v>0.23846153846153847</x:v>
      </x:c>
    </x:row>
    <x:row r="25">
      <x:c r="A25" s="16" t="str">
        <x:v>A4</x:v>
      </x:c>
      <x:c r="B25" s="17" t="str">
        <x:v>C1 Полезность</x:v>
      </x:c>
      <x:c r="C25" s="17" t="n">
        <x:f>AVERAGE('Эксперт 1'!D23,'Эксперт 2'!D23,'Эксперт 3'!D23,'Эксперт 4'!D23)</x:f>
        <x:v>6.75</x:v>
      </x:c>
      <x:c r="D25" s="17" t="n">
        <x:f>AVERAGE('Эксперт 1'!E23,'Эксперт 2'!E23,'Эксперт 3'!E23,'Эксперт 4'!E23)</x:f>
        <x:v>7.75</x:v>
      </x:c>
      <x:c r="E25" s="17" t="n">
        <x:f>AVERAGE('Эксперт 1'!F23,'Эксперт 2'!F23,'Эксперт 3'!F23,'Эксперт 4'!F23)</x:f>
        <x:v>8.75</x:v>
      </x:c>
      <x:c r="F25" s="17" t="n">
        <x:f>$H$4</x:f>
        <x:v>9</x:v>
      </x:c>
      <x:c r="G25" s="17" t="n">
        <x:f>C25/F25</x:f>
        <x:v>0.75</x:v>
      </x:c>
      <x:c r="H25" s="17" t="n">
        <x:f>D25/F25</x:f>
        <x:v>0.8611111111111112</x:v>
      </x:c>
      <x:c r="I25" s="17" t="n">
        <x:f>E25/F25</x:f>
        <x:v>0.9722222222222222</x:v>
      </x:c>
      <x:c r="J25" s="17" t="n">
        <x:f>G25*$E$4</x:f>
        <x:v>0.16153846153846155</x:v>
      </x:c>
      <x:c r="K25" s="17" t="n">
        <x:f>H25*$F$4</x:f>
        <x:v>0.211965811965812</x:v>
      </x:c>
      <x:c r="L25" s="17" t="n">
        <x:f>I25*$G$4</x:f>
        <x:v>0.2617521367521367</x:v>
      </x:c>
    </x:row>
    <x:row r="26">
      <x:c r="A26" s="16" t="str">
        <x:v>A4</x:v>
      </x:c>
      <x:c r="B26" s="17" t="str">
        <x:v>C2 Реализуемость</x:v>
      </x:c>
      <x:c r="C26" s="17" t="n">
        <x:f>AVERAGE('Эксперт 1'!D24,'Эксперт 2'!D24,'Эксперт 3'!D24,'Эксперт 4'!D24)</x:f>
        <x:v>5</x:v>
      </x:c>
      <x:c r="D26" s="17" t="n">
        <x:f>AVERAGE('Эксперт 1'!E24,'Эксперт 2'!E24,'Эксперт 3'!E24,'Эксперт 4'!E24)</x:f>
        <x:v>6</x:v>
      </x:c>
      <x:c r="E26" s="17" t="n">
        <x:f>AVERAGE('Эксперт 1'!F24,'Эксперт 2'!F24,'Эксперт 3'!F24,'Эксперт 4'!F24)</x:f>
        <x:v>7</x:v>
      </x:c>
      <x:c r="F26" s="17" t="n">
        <x:f>$H$5</x:f>
        <x:v>9</x:v>
      </x:c>
      <x:c r="G26" s="17" t="n">
        <x:f>C26/F26</x:f>
        <x:v>0.5555555555555556</x:v>
      </x:c>
      <x:c r="H26" s="17" t="n">
        <x:f>D26/F26</x:f>
        <x:v>0.6666666666666666</x:v>
      </x:c>
      <x:c r="I26" s="17" t="n">
        <x:f>E26/F26</x:f>
        <x:v>0.7777777777777778</x:v>
      </x:c>
      <x:c r="J26" s="17" t="n">
        <x:f>G26*$E$5</x:f>
        <x:v>0.11538461538461539</x:v>
      </x:c>
      <x:c r="K26" s="17" t="n">
        <x:f>H26*$F$5</x:f>
        <x:v>0.15897435897435896</x:v>
      </x:c>
      <x:c r="L26" s="17" t="n">
        <x:f>I26*$G$5</x:f>
        <x:v>0.20341880341880345</x:v>
      </x:c>
    </x:row>
    <x:row r="27">
      <x:c r="A27" s="16" t="str">
        <x:v>A4</x:v>
      </x:c>
      <x:c r="B27" s="17" t="str">
        <x:v>C3 Ясность сценариев</x:v>
      </x:c>
      <x:c r="C27" s="17" t="n">
        <x:f>AVERAGE('Эксперт 1'!D25,'Эксперт 2'!D25,'Эксперт 3'!D25,'Эксперт 4'!D25)</x:f>
        <x:v>6.25</x:v>
      </x:c>
      <x:c r="D27" s="17" t="n">
        <x:f>AVERAGE('Эксперт 1'!E25,'Эксперт 2'!E25,'Эксперт 3'!E25,'Эксперт 4'!E25)</x:f>
        <x:v>7.25</x:v>
      </x:c>
      <x:c r="E27" s="17" t="n">
        <x:f>AVERAGE('Эксперт 1'!F25,'Эксперт 2'!F25,'Эксперт 3'!F25,'Эксперт 4'!F25)</x:f>
        <x:v>8.25</x:v>
      </x:c>
      <x:c r="F27" s="17" t="n">
        <x:f>$H$6</x:f>
        <x:v>9</x:v>
      </x:c>
      <x:c r="G27" s="17" t="n">
        <x:f>C27/F27</x:f>
        <x:v>0.6944444444444444</x:v>
      </x:c>
      <x:c r="H27" s="17" t="n">
        <x:f>D27/F27</x:f>
        <x:v>0.8055555555555556</x:v>
      </x:c>
      <x:c r="I27" s="17" t="n">
        <x:f>E27/F27</x:f>
        <x:v>0.9166666666666666</x:v>
      </x:c>
      <x:c r="J27" s="17" t="n">
        <x:f>G27*$E$6</x:f>
        <x:v>0.11752136752136752</x:v>
      </x:c>
      <x:c r="K27" s="17" t="n">
        <x:f>H27*$F$6</x:f>
        <x:v>0.16111111111111112</x:v>
      </x:c>
      <x:c r="L27" s="17" t="n">
        <x:f>I27*$G$6</x:f>
        <x:v>0.21153846153846154</x:v>
      </x:c>
    </x:row>
    <x:row r="28">
      <x:c r="A28" s="16" t="str">
        <x:v>A4</x:v>
      </x:c>
      <x:c r="B28" s="17" t="str">
        <x:v>C4 Пригодность для планирования</x:v>
      </x:c>
      <x:c r="C28" s="17" t="n">
        <x:f>AVERAGE('Эксперт 1'!D26,'Эксперт 2'!D26,'Эксперт 3'!D26,'Эксперт 4'!D26)</x:f>
        <x:v>7.75</x:v>
      </x:c>
      <x:c r="D28" s="17" t="n">
        <x:f>AVERAGE('Эксперт 1'!E26,'Эксперт 2'!E26,'Эксперт 3'!E26,'Эксперт 4'!E26)</x:f>
        <x:v>8.75</x:v>
      </x:c>
      <x:c r="E28" s="17" t="n">
        <x:f>AVERAGE('Эксперт 1'!F26,'Эксперт 2'!F26,'Эксперт 3'!F26,'Эксперт 4'!F26)</x:f>
        <x:v>9</x:v>
      </x:c>
      <x:c r="F28" s="17" t="n">
        <x:f>$H$7</x:f>
        <x:v>9</x:v>
      </x:c>
      <x:c r="G28" s="17" t="n">
        <x:f>C28/F28</x:f>
        <x:v>0.8611111111111112</x:v>
      </x:c>
      <x:c r="H28" s="17" t="n">
        <x:f>D28/F28</x:f>
        <x:v>0.9722222222222222</x:v>
      </x:c>
      <x:c r="I28" s="17" t="n">
        <x:f>E28/F28</x:f>
        <x:v>1</x:v>
      </x:c>
      <x:c r="J28" s="17" t="n">
        <x:f>G28*$E$7</x:f>
        <x:v>0.158974358974359</x:v>
      </x:c>
      <x:c r="K28" s="17" t="n">
        <x:f>H28*$F$7</x:f>
        <x:v>0.2094017094017094</x:v>
      </x:c>
      <x:c r="L28" s="17" t="n">
        <x:f>I28*$G$7</x:f>
        <x:v>0.23846153846153847</x:v>
      </x:c>
    </x:row>
    <x:row r="29">
      <x:c r="A29" s="16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>
      <x:c r="A31" s="15" t="str">
        <x:v>Критерий</x:v>
      </x:c>
      <x:c r="B31" s="18" t="str">
        <x:v>Идеал + l</x:v>
      </x:c>
      <x:c r="C31" s="18" t="str">
        <x:v>Идеал + m</x:v>
      </x:c>
      <x:c r="D31" s="18" t="str">
        <x:v>Идеал + u</x:v>
      </x:c>
      <x:c r="E31" s="18" t="str">
        <x:v>Идеал − l</x:v>
      </x:c>
      <x:c r="F31" s="18" t="str">
        <x:v>Идеал − m</x:v>
      </x:c>
      <x:c r="G31" s="18" t="str">
        <x:v>Идеал − u</x:v>
      </x:c>
      <x:c r="H31" s="17"/>
      <x:c r="I31" s="17"/>
      <x:c r="J31" s="17"/>
      <x:c r="K31" s="17"/>
      <x:c r="L31" s="17"/>
    </x:row>
    <x:row r="32">
      <x:c r="A32" s="16" t="str">
        <x:v>C1 Полезность</x:v>
      </x:c>
      <x:c r="B32" s="17" t="n">
        <x:f>MAX(J13,J17,J21,J25)</x:f>
        <x:v>0.17350427350427353</x:v>
      </x:c>
      <x:c r="C32" s="17" t="n">
        <x:f>MAX(K13,K17,K21,K25)</x:f>
        <x:v>0.22564102564102564</x:v>
      </x:c>
      <x:c r="D32" s="17" t="n">
        <x:f>MAX(L13,L17,L21,L25)</x:f>
        <x:v>0.2692307692307692</x:v>
      </x:c>
      <x:c r="E32" s="17" t="n">
        <x:f>MIN(J13,J17,J21,J25)</x:f>
        <x:v>0.13760683760683762</x:v>
      </x:c>
      <x:c r="F32" s="17" t="n">
        <x:f>MIN(K13,K17,K21,K25)</x:f>
        <x:v>0.18461538461538463</x:v>
      </x:c>
      <x:c r="G32" s="17" t="n">
        <x:f>MIN(L13,L17,L21,L25)</x:f>
        <x:v>0.23183760683760685</x:v>
      </x:c>
      <x:c r="H32" s="17"/>
      <x:c r="I32" s="17"/>
      <x:c r="J32" s="17"/>
      <x:c r="K32" s="17"/>
      <x:c r="L32" s="17"/>
    </x:row>
    <x:row r="33">
      <x:c r="A33" s="16" t="str">
        <x:v>C2 Реализуемость</x:v>
      </x:c>
      <x:c r="B33" s="17" t="n">
        <x:f>MAX(J14,J18,J22,J26)</x:f>
        <x:v>0.16730769230769232</x:v>
      </x:c>
      <x:c r="C33" s="17" t="n">
        <x:f>MAX(K14,K18,K22,K26)</x:f>
        <x:v>0.2185897435897436</x:v>
      </x:c>
      <x:c r="D33" s="17" t="n">
        <x:f>MAX(L14,L18,L22,L26)</x:f>
        <x:v>0.26153846153846155</x:v>
      </x:c>
      <x:c r="E33" s="17" t="n">
        <x:f>MIN(J14,J18,J22,J26)</x:f>
        <x:v>0.10384615384615385</x:v>
      </x:c>
      <x:c r="F33" s="17" t="n">
        <x:f>MIN(K14,K18,K22,K26)</x:f>
        <x:v>0.14572649572649574</x:v>
      </x:c>
      <x:c r="G33" s="17" t="n">
        <x:f>MIN(L14,L18,L22,L26)</x:f>
        <x:v>0.18888888888888888</x:v>
      </x:c>
      <x:c r="H33" s="17"/>
      <x:c r="I33" s="17"/>
      <x:c r="J33" s="17"/>
      <x:c r="K33" s="17"/>
      <x:c r="L33" s="17"/>
    </x:row>
    <x:row r="34">
      <x:c r="A34" s="16" t="str">
        <x:v>C3 Ясность сценариев</x:v>
      </x:c>
      <x:c r="B34" s="17" t="n">
        <x:f>MAX(J15,J19,J23,J27)</x:f>
        <x:v>0.13632478632478634</x:v>
      </x:c>
      <x:c r="C34" s="17" t="n">
        <x:f>MAX(K15,K19,K23,K27)</x:f>
        <x:v>0.18333333333333335</x:v>
      </x:c>
      <x:c r="D34" s="17" t="n">
        <x:f>MAX(L15,L19,L23,L27)</x:f>
        <x:v>0.23076923076923078</x:v>
      </x:c>
      <x:c r="E34" s="17" t="n">
        <x:f>MIN(J15,J19,J23,J27)</x:f>
        <x:v>0.09871794871794873</x:v>
      </x:c>
      <x:c r="F34" s="17" t="n">
        <x:f>MIN(K15,K19,K23,K27)</x:f>
        <x:v>0.1388888888888889</x:v>
      </x:c>
      <x:c r="G34" s="17" t="n">
        <x:f>MIN(L15,L19,L23,L27)</x:f>
        <x:v>0.1858974358974359</x:v>
      </x:c>
      <x:c r="H34" s="17"/>
      <x:c r="I34" s="17"/>
      <x:c r="J34" s="17"/>
      <x:c r="K34" s="17"/>
      <x:c r="L34" s="17"/>
    </x:row>
    <x:row r="35">
      <x:c r="A35" s="16" t="str">
        <x:v>C4 Пригодность для планирования</x:v>
      </x:c>
      <x:c r="B35" s="17" t="n">
        <x:f>MAX(J16,J20,J24,J28)</x:f>
        <x:v>0.158974358974359</x:v>
      </x:c>
      <x:c r="C35" s="17" t="n">
        <x:f>MAX(K16,K20,K24,K28)</x:f>
        <x:v>0.2094017094017094</x:v>
      </x:c>
      <x:c r="D35" s="17" t="n">
        <x:f>MAX(L16,L20,L24,L28)</x:f>
        <x:v>0.23846153846153847</x:v>
      </x:c>
      <x:c r="E35" s="17" t="n">
        <x:f>MIN(J16,J20,J24,J28)</x:f>
        <x:v>0.10256410256410257</x:v>
      </x:c>
      <x:c r="F35" s="17" t="n">
        <x:f>MIN(K16,K20,K24,K28)</x:f>
        <x:v>0.14358974358974358</x:v>
      </x:c>
      <x:c r="G35" s="17" t="n">
        <x:f>MIN(L16,L20,L24,L28)</x:f>
        <x:v>0.18547008547008548</x:v>
      </x:c>
      <x:c r="H35" s="17"/>
      <x:c r="I35" s="17"/>
      <x:c r="J35" s="17"/>
      <x:c r="K35" s="17"/>
      <x:c r="L35" s="17"/>
    </x:row>
    <x:row r="36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>
      <x:c r="A37" s="15" t="str">
        <x:v>Альтернатива</x:v>
      </x:c>
      <x:c r="B37" s="18" t="str">
        <x:v>D+</x:v>
      </x:c>
      <x:c r="C37" s="18" t="str">
        <x:v>D−</x:v>
      </x:c>
      <x:c r="D37" s="18" t="str">
        <x:v>CC</x:v>
      </x:c>
      <x:c r="E37" s="18" t="str">
        <x:v>Место</x:v>
      </x:c>
      <x:c r="F37" s="17"/>
      <x:c r="G37" s="17"/>
      <x:c r="H37" s="17"/>
      <x:c r="I37" s="17"/>
      <x:c r="J37" s="17"/>
      <x:c r="K37" s="17"/>
      <x:c r="L37" s="17"/>
    </x:row>
    <x:row r="38">
      <x:c r="A38" s="16" t="str">
        <x:v>A1</x:v>
      </x:c>
      <x:c r="B38" s="17" t="n">
        <x:f>SQRT(((J13-B32)^2+(K13-C32)^2+(L13-D32)^2)/3)+SQRT(((J14-B33)^2+(K14-C33)^2+(L14-D33)^2)/3)+SQRT(((J15-B34)^2+(K15-C34)^2+(L15-D34)^2)/3)+SQRT(((J16-B35)^2+(K16-C35)^2+(L16-D35)^2)/3)</x:f>
        <x:v>0.14329198383208566</x:v>
      </x:c>
      <x:c r="C38" s="17" t="n">
        <x:f>SQRT(((J13-E32)^2+(K13-F32)^2+(L13-G32)^2)/3)+SQRT(((J14-E33)^2+(K14-F33)^2+(L14-G33)^2)/3)+SQRT(((J15-E34)^2+(K15-F34)^2+(L15-G34)^2)/3)+SQRT(((J16-E35)^2+(K16-F35)^2+(L16-G35)^2)/3)</x:f>
        <x:v>0.06621181747594068</x:v>
      </x:c>
      <x:c r="D38" s="17" t="n">
        <x:f>C38/(B38+C38)</x:f>
        <x:v>0.3160411269988924</x:v>
      </x:c>
      <x:c r="E38" s="19" t="n">
        <x:f>RANK(D38,$D$38:$D$41,0)</x:f>
        <x:v>4</x:v>
      </x:c>
      <x:c r="F38" s="17"/>
      <x:c r="G38" s="17"/>
      <x:c r="H38" s="17"/>
      <x:c r="I38" s="17"/>
      <x:c r="J38" s="17"/>
      <x:c r="K38" s="17"/>
      <x:c r="L38" s="17"/>
    </x:row>
    <x:row r="39">
      <x:c r="A39" s="16" t="str">
        <x:v>A2</x:v>
      </x:c>
      <x:c r="B39" s="17" t="n">
        <x:f>SQRT(((J17-B32)^2+(K17-C32)^2+(L17-D32)^2)/3)+SQRT(((J18-B33)^2+(K18-C33)^2+(L18-D33)^2)/3)+SQRT(((J19-B34)^2+(K19-C34)^2+(L19-D34)^2)/3)+SQRT(((J20-B35)^2+(K20-C35)^2+(L20-D35)^2)/3)</x:f>
        <x:v>0.1257525831869108</x:v>
      </x:c>
      <x:c r="C39" s="17" t="n">
        <x:f>SQRT(((J17-E32)^2+(K17-F32)^2+(L17-G32)^2)/3)+SQRT(((J18-E33)^2+(K18-F33)^2+(L18-G33)^2)/3)+SQRT(((J19-E34)^2+(K19-F34)^2+(L19-G34)^2)/3)+SQRT(((J20-E35)^2+(K20-F35)^2+(L20-G35)^2)/3)</x:f>
        <x:v>0.0833839763797548</x:v>
      </x:c>
      <x:c r="D39" s="17" t="n">
        <x:f>C39/(B39+C39)</x:f>
        <x:v>0.39870588170967225</x:v>
      </x:c>
      <x:c r="E39" s="19" t="n">
        <x:f>RANK(D39,$D$38:$D$41,0)</x:f>
        <x:v>3</x:v>
      </x:c>
      <x:c r="F39" s="17"/>
      <x:c r="G39" s="17"/>
      <x:c r="H39" s="17"/>
      <x:c r="I39" s="17"/>
      <x:c r="J39" s="17"/>
      <x:c r="K39" s="17"/>
      <x:c r="L39" s="17"/>
    </x:row>
    <x:row r="40">
      <x:c r="A40" s="16" t="str">
        <x:v>A3</x:v>
      </x:c>
      <x:c r="B40" s="17" t="n">
        <x:f>SQRT(((J21-B32)^2+(K21-C32)^2+(L21-D32)^2)/3)+SQRT(((J22-B33)^2+(K22-C33)^2+(L22-D33)^2)/3)+SQRT(((J23-B34)^2+(K23-C34)^2+(L23-D34)^2)/3)+SQRT(((J24-B35)^2+(K24-C35)^2+(L24-D35)^2)/3)</x:f>
        <x:v>0.037520249039616226</x:v>
      </x:c>
      <x:c r="C40" s="17" t="n">
        <x:f>SQRT(((J21-E32)^2+(K21-F32)^2+(L21-G32)^2)/3)+SQRT(((J22-E33)^2+(K22-F33)^2+(L22-G33)^2)/3)+SQRT(((J23-E34)^2+(K23-F34)^2+(L23-G34)^2)/3)+SQRT(((J24-E35)^2+(K24-F35)^2+(L24-G35)^2)/3)</x:f>
        <x:v>0.174220434654581</x:v>
      </x:c>
      <x:c r="D40" s="17" t="n">
        <x:f>C40/(B40+C40)</x:f>
        <x:v>0.8228009450757976</x:v>
      </x:c>
      <x:c r="E40" s="19" t="n">
        <x:f>RANK(D40,$D$38:$D$41,0)</x:f>
        <x:v>1</x:v>
      </x:c>
      <x:c r="F40" s="17"/>
      <x:c r="G40" s="17"/>
      <x:c r="H40" s="17"/>
      <x:c r="I40" s="17"/>
      <x:c r="J40" s="17"/>
      <x:c r="K40" s="17"/>
      <x:c r="L40" s="17"/>
    </x:row>
    <x:row r="41">
      <x:c r="A41" s="16" t="str">
        <x:v>A4</x:v>
      </x:c>
      <x:c r="B41" s="17" t="n">
        <x:f>SQRT(((J25-B32)^2+(K25-C32)^2+(L25-D32)^2)/3)+SQRT(((J26-B33)^2+(K26-C33)^2+(L26-D33)^2)/3)+SQRT(((J27-B34)^2+(K27-C34)^2+(L27-D34)^2)/3)+SQRT(((J28-B35)^2+(K28-C35)^2+(L28-D35)^2)/3)</x:f>
        <x:v>0.08813856876274956</x:v>
      </x:c>
      <x:c r="C41" s="17" t="n">
        <x:f>SQRT(((J25-E32)^2+(K25-F32)^2+(L25-G32)^2)/3)+SQRT(((J26-E33)^2+(K26-F33)^2+(L26-G33)^2)/3)+SQRT(((J27-E34)^2+(K27-F34)^2+(L27-G34)^2)/3)+SQRT(((J28-E35)^2+(K28-F35)^2+(L28-G35)^2)/3)</x:f>
        <x:v>0.12139126426123824</x:v>
      </x:c>
      <x:c r="D41" s="17" t="n">
        <x:f>C41/(B41+C41)</x:f>
        <x:v>0.579350742131985</x:v>
      </x:c>
      <x:c r="E41" s="19" t="n">
        <x:f>RANK(D41,$D$38:$D$41,0)</x:f>
        <x:v>2</x:v>
      </x:c>
      <x:c r="F41" s="17"/>
      <x:c r="G41" s="17"/>
      <x:c r="H41" s="17"/>
      <x:c r="I41" s="17"/>
      <x:c r="J41" s="17"/>
      <x:c r="K41" s="17"/>
      <x:c r="L41" s="17"/>
    </x:row>
  </x:sheetData>
  <x:mergeCells>
    <x:mergeCell ref="A1:L1"/>
    <x:mergeCell ref="A9:C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0" t="str">
        <x:v>Чёткий коллективный МАИ — расчёт по таблицам</x:v>
      </x:c>
      <x:c r="B1" s="10"/>
      <x:c r="C1" s="10"/>
      <x:c r="D1" s="10"/>
      <x:c r="E1" s="10"/>
      <x:c r="F1" s="10"/>
      <x:c r="G1" s="10"/>
      <x:c r="H1" s="10"/>
      <x:c r="I1" s="10"/>
    </x:row>
    <x:row r="3">
      <x:c r="A3" s="15" t="str">
        <x:v>Матрица критериев</x:v>
      </x:c>
      <x:c r="B3" s="15"/>
      <x:c r="C3" s="15"/>
      <x:c r="D3" s="15"/>
      <x:c r="E3" s="15"/>
      <x:c r="F3" s="15"/>
      <x:c r="G3" s="15"/>
      <x:c r="H3" s="15"/>
      <x:c r="I3" s="15"/>
    </x:row>
    <x:row r="4">
      <x:c r="A4" s="20" t="str">
        <x:v>Элемент</x:v>
      </x:c>
      <x:c r="B4" s="20" t="str">
        <x:v>C1 Полезность</x:v>
      </x:c>
      <x:c r="C4" s="20" t="str">
        <x:v>C2 Реализуемость</x:v>
      </x:c>
      <x:c r="D4" s="20" t="str">
        <x:v>C3 Ясность сценариев</x:v>
      </x:c>
      <x:c r="E4" s="20" t="str">
        <x:v>C4 Пригодность для планирования</x:v>
      </x:c>
      <x:c r="F4" s="20" t="str">
        <x:v>Геом. ср.</x:v>
      </x:c>
      <x:c r="G4" s="20" t="str">
        <x:v>Приоритет</x:v>
      </x:c>
      <x:c r="H4" s="20" t="str">
        <x:v>Aw</x:v>
      </x:c>
      <x:c r="I4" s="20" t="str">
        <x:v>Aw/w</x:v>
      </x:c>
    </x:row>
    <x:row r="5">
      <x:c r="A5" s="16" t="str">
        <x:v>C1 Полезность</x:v>
      </x:c>
      <x:c r="B5" s="17" t="n">
        <x:v>1</x:v>
      </x:c>
      <x:c r="C5" s="17" t="n">
        <x:f>('Эксперт 1'!D33*'Эксперт 2'!D33*'Эксперт 3'!D33*'Эксперт 4'!D33)^(1/4)</x:f>
        <x:v>1</x:v>
      </x:c>
      <x:c r="D5" s="17" t="n">
        <x:f>('Эксперт 1'!D34*'Эксперт 2'!D34*'Эксперт 3'!D34*'Эксперт 4'!D34)^(1/4)</x:f>
        <x:v>2.2133638394006434</x:v>
      </x:c>
      <x:c r="E5" s="17" t="n">
        <x:f>('Эксперт 1'!D35*'Эксперт 2'!D35*'Эксперт 3'!D35*'Эксперт 4'!D35)^(1/4)</x:f>
        <x:v>1.189207115002721</x:v>
      </x:c>
      <x:c r="F5" s="17" t="n">
        <x:f>PRODUCT(B5:E5)^(1/4)</x:f>
        <x:v>1.2737305851752865</x:v>
      </x:c>
      <x:c r="G5" s="17" t="n">
        <x:f>F5/SUM($F$5:$F$8)</x:f>
        <x:v>0.3020443386213837</x:v>
      </x:c>
      <x:c r="H5" s="17" t="n">
        <x:f>B5*$G$5+C5*$G$6+D5*$G$7+E5*$G$8</x:f>
        <x:v>1.2087443107759743</x:v>
      </x:c>
      <x:c r="I5" s="17" t="n">
        <x:f>H5/G5</x:f>
        <x:v>4.0018770631259875</x:v>
      </x:c>
    </x:row>
    <x:row r="6">
      <x:c r="A6" s="16" t="str">
        <x:v>C2 Реализуемость</x:v>
      </x:c>
      <x:c r="B6" s="17" t="n">
        <x:f>1/C5</x:f>
        <x:v>1</x:v>
      </x:c>
      <x:c r="C6" s="17" t="n">
        <x:v>1</x:v>
      </x:c>
      <x:c r="D6" s="17" t="n">
        <x:f>('Эксперт 1'!D36*'Эксперт 2'!D36*'Эксперт 3'!D36*'Эксперт 4'!D36)^(1/4)</x:f>
        <x:v>2.2133638394006434</x:v>
      </x:c>
      <x:c r="E6" s="17" t="n">
        <x:f>('Эксперт 1'!D37*'Эксперт 2'!D37*'Эксперт 3'!D37*'Эксперт 4'!D37)^(1/4)</x:f>
        <x:v>1.189207115002721</x:v>
      </x:c>
      <x:c r="F6" s="17" t="n">
        <x:f>PRODUCT(B6:E6)^(1/4)</x:f>
        <x:v>1.2737305851752865</x:v>
      </x:c>
      <x:c r="G6" s="17" t="n">
        <x:f>F6/SUM($F$5:$F$8)</x:f>
        <x:v>0.3020443386213837</x:v>
      </x:c>
      <x:c r="H6" s="17" t="n">
        <x:f>B6*$G$5+C6*$G$6+D6*$G$7+E6*$G$8</x:f>
        <x:v>1.2087443107759743</x:v>
      </x:c>
      <x:c r="I6" s="17" t="n">
        <x:f>H6/G6</x:f>
        <x:v>4.0018770631259875</x:v>
      </x:c>
    </x:row>
    <x:row r="7">
      <x:c r="A7" s="16" t="str">
        <x:v>C3 Ясность сценариев</x:v>
      </x:c>
      <x:c r="B7" s="17" t="n">
        <x:f>1/D5</x:f>
        <x:v>0.4518010018049224</x:v>
      </x:c>
      <x:c r="C7" s="17" t="n">
        <x:f>1/D6</x:f>
        <x:v>0.4518010018049224</x:v>
      </x:c>
      <x:c r="D7" s="17" t="n">
        <x:v>1</x:v>
      </x:c>
      <x:c r="E7" s="17" t="n">
        <x:f>('Эксперт 1'!D38*'Эксперт 2'!D38*'Эксперт 3'!D38*'Эксперт 4'!D38)^(1/4)</x:f>
        <x:v>0.4518010018049224</x:v>
      </x:c>
      <x:c r="F7" s="17" t="n">
        <x:f>PRODUCT(B7:E7)^(1/4)</x:f>
        <x:v>0.5510745975773502</x:v>
      </x:c>
      <x:c r="G7" s="17" t="n">
        <x:f>F7/SUM($F$5:$F$8)</x:f>
        <x:v>0.13067831164106794</x:v>
      </x:c>
      <x:c r="H7" s="17" t="n">
        <x:f>B7*$G$5+C7*$G$6+D7*$G$7+E7*$G$8</x:f>
        <x:v>0.52343872133238</x:v>
      </x:c>
      <x:c r="I7" s="17" t="n">
        <x:f>H7/G7</x:f>
        <x:v>4.005551608059498</x:v>
      </x:c>
    </x:row>
    <x:row r="8">
      <x:c r="A8" s="16" t="str">
        <x:v>C4 Пригодность для планирования</x:v>
      </x:c>
      <x:c r="B8" s="17" t="n">
        <x:f>1/E5</x:f>
        <x:v>0.8408964152537146</x:v>
      </x:c>
      <x:c r="C8" s="17" t="n">
        <x:f>1/E6</x:f>
        <x:v>0.8408964152537146</x:v>
      </x:c>
      <x:c r="D8" s="17" t="n">
        <x:f>1/E7</x:f>
        <x:v>2.2133638394006434</x:v>
      </x:c>
      <x:c r="E8" s="17" t="n">
        <x:v>1</x:v>
      </x:c>
      <x:c r="F8" s="17" t="n">
        <x:f>PRODUCT(B8:E8)^(1/4)</x:f>
        <x:v>1.118496045973822</x:v>
      </x:c>
      <x:c r="G8" s="17" t="n">
        <x:f>F8/SUM($F$5:$F$8)</x:f>
        <x:v>0.2652330111161648</x:v>
      </x:c>
      <x:c r="H8" s="17" t="n">
        <x:f>B8*$G$5+C8*$G$6+D8*$G$7+E8*$G$8</x:f>
        <x:v>1.062447663885234</x:v>
      </x:c>
      <x:c r="I8" s="17" t="n">
        <x:f>H8/G8</x:f>
        <x:v>4.005714294062405</x:v>
      </x:c>
    </x:row>
    <x:row r="9">
      <x:c r="A9" s="16"/>
      <x:c r="B9" s="17"/>
      <x:c r="C9" s="17"/>
      <x:c r="D9" s="17"/>
      <x:c r="E9" s="17"/>
      <x:c r="F9" s="17"/>
      <x:c r="G9" s="17"/>
      <x:c r="H9" s="17" t="str">
        <x:v>λmax</x:v>
      </x:c>
      <x:c r="I9" s="17" t="n">
        <x:f>AVERAGE(I5:I8)</x:f>
        <x:v>4.00375500709347</x:v>
      </x:c>
    </x:row>
    <x:row r="10">
      <x:c r="A10" s="16"/>
      <x:c r="B10" s="17"/>
      <x:c r="C10" s="17"/>
      <x:c r="D10" s="17"/>
      <x:c r="E10" s="17"/>
      <x:c r="F10" s="17"/>
      <x:c r="G10" s="17"/>
      <x:c r="H10" s="17" t="str">
        <x:v>CI</x:v>
      </x:c>
      <x:c r="I10" s="17" t="n">
        <x:f>(I9-4)/3</x:f>
        <x:v>0.0012516690311565881</x:v>
      </x:c>
    </x:row>
    <x:row r="11">
      <x:c r="A11" s="16"/>
      <x:c r="B11" s="17"/>
      <x:c r="C11" s="17"/>
      <x:c r="D11" s="17"/>
      <x:c r="E11" s="17"/>
      <x:c r="F11" s="17"/>
      <x:c r="G11" s="17"/>
      <x:c r="H11" s="17" t="str">
        <x:v>CR</x:v>
      </x:c>
      <x:c r="I11" s="17" t="n">
        <x:f>I10/0.9</x:f>
        <x:v>0.0013907433679517646</x:v>
      </x:c>
    </x:row>
    <x:row r="12">
      <x:c r="A12" s="16"/>
      <x:c r="B12" s="17"/>
      <x:c r="C12" s="17"/>
      <x:c r="D12" s="17"/>
      <x:c r="E12" s="17"/>
      <x:c r="F12" s="17"/>
      <x:c r="G12" s="17"/>
      <x:c r="H12" s="17"/>
      <x:c r="I12" s="17"/>
    </x:row>
    <x:row r="13">
      <x:c r="A13" s="15" t="str">
        <x:v>Альтернативы по C1 Полезность</x:v>
      </x:c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20" t="str">
        <x:v>Элемент</x:v>
      </x:c>
      <x:c r="B14" s="21" t="str">
        <x:v>A1 Бронирование помещений</x:v>
      </x:c>
      <x:c r="C14" s="21" t="str">
        <x:v>A2 Учебные группы</x:v>
      </x:c>
      <x:c r="D14" s="21" t="str">
        <x:v>A3 Студенческие события</x:v>
      </x:c>
      <x:c r="E14" s="21" t="str">
        <x:v>A4 Волонтёрские смены</x:v>
      </x:c>
      <x:c r="F14" s="21" t="str">
        <x:v>Геом. ср.</x:v>
      </x:c>
      <x:c r="G14" s="21" t="str">
        <x:v>Приоритет</x:v>
      </x:c>
      <x:c r="H14" s="21" t="str">
        <x:v>Aw</x:v>
      </x:c>
      <x:c r="I14" s="21" t="str">
        <x:v>Aw/w</x:v>
      </x:c>
    </x:row>
    <x:row r="15">
      <x:c r="A15" s="16" t="str">
        <x:v>A1 Бронирование помещений</x:v>
      </x:c>
      <x:c r="B15" s="17" t="n">
        <x:v>1</x:v>
      </x:c>
      <x:c r="C15" s="17" t="n">
        <x:f>('Эксперт 1'!D39*'Эксперт 2'!D39*'Эксперт 3'!D39*'Эксперт 4'!D39)^(1/4)</x:f>
        <x:v>0.8408964152537145</x:v>
      </x:c>
      <x:c r="D15" s="17" t="n">
        <x:f>('Эксперт 1'!D40*'Эксперт 2'!D40*'Эксперт 3'!D40*'Эксперт 4'!D40)^(1/4)</x:f>
        <x:v>0.537284965911771</x:v>
      </x:c>
      <x:c r="E15" s="17" t="n">
        <x:f>('Эксперт 1'!D41*'Эксперт 2'!D41*'Эксперт 3'!D41*'Эксперт 4'!D41)^(1/4)</x:f>
        <x:v>0.8408964152537145</x:v>
      </x:c>
      <x:c r="F15" s="17" t="n">
        <x:f>PRODUCT(B15:E15)^(1/4)</x:f>
        <x:v>0.7850953817383474</x:v>
      </x:c>
      <x:c r="G15" s="17" t="n">
        <x:f>F15/SUM($F$15:$F$18)</x:f>
        <x:v>0.19259070878133588</x:v>
      </x:c>
      <x:c r="H15" s="17" t="n">
        <x:f>B15*$G$15+C15*$G$16+D15*$G$17+E15*$G$18</x:f>
        <x:v>0.772472657378998</x:v>
      </x:c>
      <x:c r="I15" s="17" t="n">
        <x:f>H15/G15</x:f>
        <x:v>4.010954953471042</x:v>
      </x:c>
    </x:row>
    <x:row r="16">
      <x:c r="A16" s="16" t="str">
        <x:v>A2 Учебные группы</x:v>
      </x:c>
      <x:c r="B16" s="17" t="n">
        <x:f>1/C15</x:f>
        <x:v>1.189207115002721</x:v>
      </x:c>
      <x:c r="C16" s="17" t="n">
        <x:v>1</x:v>
      </x:c>
      <x:c r="D16" s="17" t="n">
        <x:f>('Эксперт 1'!D42*'Эксперт 2'!D42*'Эксперт 3'!D42*'Эксперт 4'!D42)^(1/4)</x:f>
        <x:v>0.5946035575013605</x:v>
      </x:c>
      <x:c r="E16" s="17" t="n">
        <x:f>('Эксперт 1'!D43*'Эксперт 2'!D43*'Эксперт 3'!D43*'Эксперт 4'!D43)^(1/4)</x:f>
        <x:v>1</x:v>
      </x:c>
      <x:c r="F16" s="17" t="n">
        <x:f>PRODUCT(B16:E16)^(1/4)</x:f>
        <x:v>0.9170040432046712</x:v>
      </x:c>
      <x:c r="G16" s="17" t="n">
        <x:f>F16/SUM($F$15:$F$18)</x:f>
        <x:v>0.22494904790434353</x:v>
      </x:c>
      <x:c r="H16" s="17" t="n">
        <x:f>B16*$G$15+C16*$G$16+D16*$G$17+E16*$G$18</x:f>
        <x:v>0.9041623930498183</x:v>
      </x:c>
      <x:c r="I16" s="17" t="n">
        <x:f>H16/G16</x:f>
        <x:v>4.019409735107218</x:v>
      </x:c>
    </x:row>
    <x:row r="17">
      <x:c r="A17" s="16" t="str">
        <x:v>A3 Студенческие события</x:v>
      </x:c>
      <x:c r="B17" s="17" t="n">
        <x:f>1/D15</x:f>
        <x:v>1.8612097182041991</x:v>
      </x:c>
      <x:c r="C17" s="17" t="n">
        <x:f>1/D16</x:f>
        <x:v>1.6817928305074292</x:v>
      </x:c>
      <x:c r="D17" s="17" t="n">
        <x:v>1</x:v>
      </x:c>
      <x:c r="E17" s="17" t="n">
        <x:f>('Эксперт 1'!D44*'Эксперт 2'!D44*'Эксперт 3'!D44*'Эксперт 4'!D44)^(1/4)</x:f>
        <x:v>1</x:v>
      </x:c>
      <x:c r="F17" s="17" t="n">
        <x:f>PRODUCT(B17:E17)^(1/4)</x:f>
        <x:v>1.3301234559744797</x:v>
      </x:c>
      <x:c r="G17" s="17" t="n">
        <x:f>F17/SUM($F$15:$F$18)</x:f>
        <x:v>0.32629082416151556</x:v>
      </x:c>
      <x:c r="H17" s="17" t="n">
        <x:f>B17*$G$15+C17*$G$16+D17*$G$17+E17*$G$18</x:f>
        <x:v>1.3192296381289748</x:v>
      </x:c>
      <x:c r="I17" s="17" t="n">
        <x:f>H17/G17</x:f>
        <x:v>4.043109828537347</x:v>
      </x:c>
    </x:row>
    <x:row r="18">
      <x:c r="A18" s="16" t="str">
        <x:v>A4 Волонтёрские смены</x:v>
      </x:c>
      <x:c r="B18" s="17" t="n">
        <x:f>1/E15</x:f>
        <x:v>1.189207115002721</x:v>
      </x:c>
      <x:c r="C18" s="17" t="n">
        <x:f>1/E16</x:f>
        <x:v>1</x:v>
      </x:c>
      <x:c r="D18" s="17" t="n">
        <x:f>1/E17</x:f>
        <x:v>1</x:v>
      </x:c>
      <x:c r="E18" s="17" t="n">
        <x:v>1</x:v>
      </x:c>
      <x:c r="F18" s="17" t="n">
        <x:f>PRODUCT(B18:E18)^(1/4)</x:f>
        <x:v>1.0442737824274138</x:v>
      </x:c>
      <x:c r="G18" s="17" t="n">
        <x:f>F18/SUM($F$15:$F$18)</x:f>
        <x:v>0.256169419152805</x:v>
      </x:c>
      <x:c r="H18" s="17" t="n">
        <x:f>B18*$G$15+C18*$G$16+D18*$G$17+E18*$G$18</x:f>
        <x:v>1.0364395323848457</x:v>
      </x:c>
      <x:c r="I18" s="17" t="n">
        <x:f>H18/G18</x:f>
        <x:v>4.045914363285532</x:v>
      </x:c>
    </x:row>
    <x:row r="19">
      <x:c r="A19" s="16"/>
      <x:c r="B19" s="17"/>
      <x:c r="C19" s="17"/>
      <x:c r="D19" s="17"/>
      <x:c r="E19" s="17"/>
      <x:c r="F19" s="17"/>
      <x:c r="G19" s="17"/>
      <x:c r="H19" s="17" t="str">
        <x:v>λmax</x:v>
      </x:c>
      <x:c r="I19" s="17" t="n">
        <x:f>AVERAGE(I15:I18)</x:f>
        <x:v>4.029847220100285</x:v>
      </x:c>
    </x:row>
    <x:row r="20">
      <x:c r="A20" s="16"/>
      <x:c r="B20" s="17"/>
      <x:c r="C20" s="17"/>
      <x:c r="D20" s="17"/>
      <x:c r="E20" s="17"/>
      <x:c r="F20" s="17"/>
      <x:c r="G20" s="17"/>
      <x:c r="H20" s="17" t="str">
        <x:v>CI</x:v>
      </x:c>
      <x:c r="I20" s="17" t="n">
        <x:f>(I19-4)/3</x:f>
        <x:v>0.009949073366761615</x:v>
      </x:c>
    </x:row>
    <x:row r="21">
      <x:c r="A21" s="16"/>
      <x:c r="B21" s="17"/>
      <x:c r="C21" s="17"/>
      <x:c r="D21" s="17"/>
      <x:c r="E21" s="17"/>
      <x:c r="F21" s="17"/>
      <x:c r="G21" s="17"/>
      <x:c r="H21" s="17" t="str">
        <x:v>CR</x:v>
      </x:c>
      <x:c r="I21" s="17" t="n">
        <x:f>I20/0.9</x:f>
        <x:v>0.01105452596306846</x:v>
      </x:c>
    </x:row>
    <x:row r="22">
      <x:c r="A22" s="16"/>
      <x:c r="B22" s="17"/>
      <x:c r="C22" s="17"/>
      <x:c r="D22" s="17"/>
      <x:c r="E22" s="17"/>
      <x:c r="F22" s="17"/>
      <x:c r="G22" s="17"/>
      <x:c r="H22" s="17"/>
      <x:c r="I22" s="17"/>
    </x:row>
    <x:row r="23">
      <x:c r="A23" s="15" t="str">
        <x:v>Альтернативы по C2 Реализуемость</x:v>
      </x:c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20" t="str">
        <x:v>Элемент</x:v>
      </x:c>
      <x:c r="B24" s="21" t="str">
        <x:v>A1 Бронирование помещений</x:v>
      </x:c>
      <x:c r="C24" s="21" t="str">
        <x:v>A2 Учебные группы</x:v>
      </x:c>
      <x:c r="D24" s="21" t="str">
        <x:v>A3 Студенческие события</x:v>
      </x:c>
      <x:c r="E24" s="21" t="str">
        <x:v>A4 Волонтёрские смены</x:v>
      </x:c>
      <x:c r="F24" s="21" t="str">
        <x:v>Геом. ср.</x:v>
      </x:c>
      <x:c r="G24" s="21" t="str">
        <x:v>Приоритет</x:v>
      </x:c>
      <x:c r="H24" s="21" t="str">
        <x:v>Aw</x:v>
      </x:c>
      <x:c r="I24" s="21" t="str">
        <x:v>Aw/w</x:v>
      </x:c>
    </x:row>
    <x:row r="25">
      <x:c r="A25" s="16" t="str">
        <x:v>A1 Бронирование помещений</x:v>
      </x:c>
      <x:c r="B25" s="17" t="n">
        <x:v>1</x:v>
      </x:c>
      <x:c r="C25" s="17" t="n">
        <x:f>('Эксперт 1'!D45*'Эксперт 2'!D45*'Эксперт 3'!D45*'Эксперт 4'!D45)^(1/4)</x:f>
        <x:v>0.408248290463863</x:v>
      </x:c>
      <x:c r="D25" s="17" t="n">
        <x:f>('Эксперт 1'!D46*'Эксперт 2'!D46*'Эксперт 3'!D46*'Эксперт 4'!D46)^(1/4)</x:f>
        <x:v>0.6389431042462724</x:v>
      </x:c>
      <x:c r="E25" s="17" t="n">
        <x:f>('Эксперт 1'!D47*'Эксперт 2'!D47*'Эксперт 3'!D47*'Эксперт 4'!D47)^(1/4)</x:f>
        <x:v>0.7071067811865476</x:v>
      </x:c>
      <x:c r="F25" s="17" t="n">
        <x:f>PRODUCT(B25:E25)^(1/4)</x:f>
        <x:v>0.6553418323362462</x:v>
      </x:c>
      <x:c r="G25" s="17" t="n">
        <x:f>F25/SUM($F$25:$F$28)</x:f>
        <x:v>0.1564352183077154</x:v>
      </x:c>
      <x:c r="H25" s="17" t="n">
        <x:f>B25*$G$25+C25*$G$26+D25*$G$27+E25*$G$28</x:f>
        <x:v>0.6277855641305305</x:v>
      </x:c>
      <x:c r="I25" s="17" t="n">
        <x:f>H25/G25</x:f>
        <x:v>4.013070527990998</x:v>
      </x:c>
    </x:row>
    <x:row r="26">
      <x:c r="A26" s="16" t="str">
        <x:v>A2 Учебные группы</x:v>
      </x:c>
      <x:c r="B26" s="17" t="n">
        <x:f>1/C25</x:f>
        <x:v>2.449489742783178</x:v>
      </x:c>
      <x:c r="C26" s="17" t="n">
        <x:v>1</x:v>
      </x:c>
      <x:c r="D26" s="17" t="n">
        <x:f>('Эксперт 1'!D48*'Эксперт 2'!D48*'Эксперт 3'!D48*'Эксперт 4'!D48)^(1/4)</x:f>
        <x:v>1</x:v>
      </x:c>
      <x:c r="E26" s="17" t="n">
        <x:f>('Эксперт 1'!D49*'Эксперт 2'!D49*'Эксперт 3'!D49*'Эксперт 4'!D49)^(1/4)</x:f>
        <x:v>2</x:v>
      </x:c>
      <x:c r="F26" s="17" t="n">
        <x:f>PRODUCT(B26:E26)^(1/4)</x:f>
        <x:v>1.4877378261644902</x:v>
      </x:c>
      <x:c r="G26" s="17" t="n">
        <x:f>F26/SUM($F$25:$F$28)</x:f>
        <x:v>0.3551346490288984</x:v>
      </x:c>
      <x:c r="H26" s="17" t="n">
        <x:f>B26*$G$25+C26*$G$26+D26*$G$27+E26*$G$28</x:f>
        <x:v>1.43636680416261</x:v>
      </x:c>
      <x:c r="I26" s="17" t="n">
        <x:f>H26/G26</x:f>
        <x:v>4.044569596603142</x:v>
      </x:c>
    </x:row>
    <x:row r="27">
      <x:c r="A27" s="16" t="str">
        <x:v>A3 Студенческие события</x:v>
      </x:c>
      <x:c r="B27" s="17" t="n">
        <x:f>1/D25</x:f>
        <x:v>1.5650845800732873</x:v>
      </x:c>
      <x:c r="C27" s="17" t="n">
        <x:f>1/D26</x:f>
        <x:v>1</x:v>
      </x:c>
      <x:c r="D27" s="17" t="n">
        <x:v>1</x:v>
      </x:c>
      <x:c r="E27" s="17" t="n">
        <x:f>('Эксперт 1'!D50*'Эксперт 2'!D50*'Эксперт 3'!D50*'Эксперт 4'!D50)^(1/4)</x:f>
        <x:v>1.189207115002721</x:v>
      </x:c>
      <x:c r="F27" s="17" t="n">
        <x:f>PRODUCT(B27:E27)^(1/4)</x:f>
        <x:v>1.1680160965591895</x:v>
      </x:c>
      <x:c r="G27" s="17" t="n">
        <x:f>F27/SUM($F$25:$F$28)</x:f>
        <x:v>0.278814572847857</x:v>
      </x:c>
      <x:c r="H27" s="17" t="n">
        <x:f>B27*$G$25+C27*$G$26+D27*$G$27+E27*$G$28</x:f>
        <x:v>1.128059884978465</x:v>
      </x:c>
      <x:c r="I27" s="17" t="n">
        <x:f>H27/G27</x:f>
        <x:v>4.045914363285533</x:v>
      </x:c>
    </x:row>
    <x:row r="28">
      <x:c r="A28" s="16" t="str">
        <x:v>A4 Волонтёрские смены</x:v>
      </x:c>
      <x:c r="B28" s="17" t="n">
        <x:f>1/E25</x:f>
        <x:v>1.414213562373095</x:v>
      </x:c>
      <x:c r="C28" s="17" t="n">
        <x:f>1/E26</x:f>
        <x:v>0.5</x:v>
      </x:c>
      <x:c r="D28" s="17" t="n">
        <x:f>1/E27</x:f>
        <x:v>0.8408964152537146</x:v>
      </x:c>
      <x:c r="E28" s="17" t="n">
        <x:v>1</x:v>
      </x:c>
      <x:c r="F28" s="17" t="n">
        <x:f>PRODUCT(B28:E28)^(1/4)</x:f>
        <x:v>0.8781260801866497</x:v>
      </x:c>
      <x:c r="G28" s="17" t="n">
        <x:f>F28/SUM($F$25:$F$28)</x:f>
        <x:v>0.20961555981552923</x:v>
      </x:c>
      <x:c r="H28" s="17" t="n">
        <x:f>B28*$G$25+C28*$G$26+D28*$G$27+E28*$G$28</x:f>
        <x:v>0.8428698665218041</x:v>
      </x:c>
      <x:c r="I28" s="17" t="n">
        <x:f>H28/G28</x:f>
        <x:v>4.02102719504013</x:v>
      </x:c>
    </x:row>
    <x:row r="29">
      <x:c r="A29" s="16"/>
      <x:c r="B29" s="17"/>
      <x:c r="C29" s="17"/>
      <x:c r="D29" s="17"/>
      <x:c r="E29" s="17"/>
      <x:c r="F29" s="17"/>
      <x:c r="G29" s="17"/>
      <x:c r="H29" s="17" t="str">
        <x:v>λmax</x:v>
      </x:c>
      <x:c r="I29" s="17" t="n">
        <x:f>AVERAGE(I25:I28)</x:f>
        <x:v>4.031145420729951</x:v>
      </x:c>
    </x:row>
    <x:row r="30">
      <x:c r="A30" s="16"/>
      <x:c r="B30" s="17"/>
      <x:c r="C30" s="17"/>
      <x:c r="D30" s="17"/>
      <x:c r="E30" s="17"/>
      <x:c r="F30" s="17"/>
      <x:c r="G30" s="17"/>
      <x:c r="H30" s="17" t="str">
        <x:v>CI</x:v>
      </x:c>
      <x:c r="I30" s="17" t="n">
        <x:f>(I29-4)/3</x:f>
        <x:v>0.010381806909983618</x:v>
      </x:c>
    </x:row>
    <x:row r="31">
      <x:c r="A31" s="16"/>
      <x:c r="B31" s="17"/>
      <x:c r="C31" s="17"/>
      <x:c r="D31" s="17"/>
      <x:c r="E31" s="17"/>
      <x:c r="F31" s="17"/>
      <x:c r="G31" s="17"/>
      <x:c r="H31" s="17" t="str">
        <x:v>CR</x:v>
      </x:c>
      <x:c r="I31" s="17" t="n">
        <x:f>I30/0.9</x:f>
        <x:v>0.011535341011092909</x:v>
      </x:c>
    </x:row>
    <x:row r="32">
      <x:c r="A32" s="16"/>
      <x:c r="B32" s="17"/>
      <x:c r="C32" s="17"/>
      <x:c r="D32" s="17"/>
      <x:c r="E32" s="17"/>
      <x:c r="F32" s="17"/>
      <x:c r="G32" s="17"/>
      <x:c r="H32" s="17"/>
      <x:c r="I32" s="17"/>
    </x:row>
    <x:row r="33">
      <x:c r="A33" s="15" t="str">
        <x:v>Альтернативы по C3 Ясность сценариев</x:v>
      </x:c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20" t="str">
        <x:v>Элемент</x:v>
      </x:c>
      <x:c r="B34" s="21" t="str">
        <x:v>A1 Бронирование помещений</x:v>
      </x:c>
      <x:c r="C34" s="21" t="str">
        <x:v>A2 Учебные группы</x:v>
      </x:c>
      <x:c r="D34" s="21" t="str">
        <x:v>A3 Студенческие события</x:v>
      </x:c>
      <x:c r="E34" s="21" t="str">
        <x:v>A4 Волонтёрские смены</x:v>
      </x:c>
      <x:c r="F34" s="21" t="str">
        <x:v>Геом. ср.</x:v>
      </x:c>
      <x:c r="G34" s="21" t="str">
        <x:v>Приоритет</x:v>
      </x:c>
      <x:c r="H34" s="21" t="str">
        <x:v>Aw</x:v>
      </x:c>
      <x:c r="I34" s="21" t="str">
        <x:v>Aw/w</x:v>
      </x:c>
    </x:row>
    <x:row r="35">
      <x:c r="A35" s="16" t="str">
        <x:v>A1 Бронирование помещений</x:v>
      </x:c>
      <x:c r="B35" s="17" t="n">
        <x:v>1</x:v>
      </x:c>
      <x:c r="C35" s="17" t="n">
        <x:f>('Эксперт 1'!D51*'Эксперт 2'!D51*'Эксперт 3'!D51*'Эксперт 4'!D51)^(1/4)</x:f>
        <x:v>2.0597671439071177</x:v>
      </x:c>
      <x:c r="D35" s="17" t="n">
        <x:f>('Эксперт 1'!D52*'Эксперт 2'!D52*'Эксперт 3'!D52*'Эксперт 4'!D52)^(1/4)</x:f>
        <x:v>1</x:v>
      </x:c>
      <x:c r="E35" s="17" t="n">
        <x:f>('Эксперт 1'!D53*'Эксперт 2'!D53*'Эксперт 3'!D53*'Эксперт 4'!D53)^(1/4)</x:f>
        <x:v>1.189207115002721</x:v>
      </x:c>
      <x:c r="F35" s="17" t="n">
        <x:f>PRODUCT(B35:E35)^(1/4)</x:f>
        <x:v>1.2510334048590739</x:v>
      </x:c>
      <x:c r="G35" s="17" t="n">
        <x:f>F35/SUM($F$35:$F$38)</x:f>
        <x:v>0.2965087300100307</x:v>
      </x:c>
      <x:c r="H35" s="17" t="n">
        <x:f>B35*$G$35+C35*$G$36+D35*$G$37+E35*$G$38</x:f>
        <x:v>1.1901106174544376</x:v>
      </x:c>
      <x:c r="I35" s="17" t="n">
        <x:f>H35/G35</x:f>
        <x:v>4.013745623658963</x:v>
      </x:c>
    </x:row>
    <x:row r="36">
      <x:c r="A36" s="16" t="str">
        <x:v>A2 Учебные группы</x:v>
      </x:c>
      <x:c r="B36" s="17" t="n">
        <x:f>1/C35</x:f>
        <x:v>0.48549177170732344</x:v>
      </x:c>
      <x:c r="C36" s="17" t="n">
        <x:v>1</x:v>
      </x:c>
      <x:c r="D36" s="17" t="n">
        <x:f>('Эксперт 1'!D54*'Эксперт 2'!D54*'Эксперт 3'!D54*'Эксперт 4'!D54)^(1/4)</x:f>
        <x:v>0.408248290463863</x:v>
      </x:c>
      <x:c r="E36" s="17" t="n">
        <x:f>('Эксперт 1'!D55*'Эксперт 2'!D55*'Эксперт 3'!D55*'Эксперт 4'!D55)^(1/4)</x:f>
        <x:v>0.5946035575013605</x:v>
      </x:c>
      <x:c r="F36" s="17" t="n">
        <x:f>PRODUCT(B36:E36)^(1/4)</x:f>
        <x:v>0.5859134099715756</x:v>
      </x:c>
      <x:c r="G36" s="17" t="n">
        <x:f>F36/SUM($F$35:$F$38)</x:f>
        <x:v>0.138867947419908</x:v>
      </x:c>
      <x:c r="H36" s="17" t="n">
        <x:f>B36*$G$35+C36*$G$36+D36*$G$37+E36*$G$38</x:f>
        <x:v>0.5556226690229409</x:v>
      </x:c>
      <x:c r="I36" s="17" t="n">
        <x:f>H36/G36</x:f>
        <x:v>4.001086495092008</x:v>
      </x:c>
    </x:row>
    <x:row r="37">
      <x:c r="A37" s="16" t="str">
        <x:v>A3 Студенческие события</x:v>
      </x:c>
      <x:c r="B37" s="17" t="n">
        <x:f>1/D35</x:f>
        <x:v>1</x:v>
      </x:c>
      <x:c r="C37" s="17" t="n">
        <x:f>1/D36</x:f>
        <x:v>2.449489742783178</x:v>
      </x:c>
      <x:c r="D37" s="17" t="n">
        <x:v>1</x:v>
      </x:c>
      <x:c r="E37" s="17" t="n">
        <x:f>('Эксперт 1'!D56*'Эксперт 2'!D56*'Эксперт 3'!D56*'Эксперт 4'!D56)^(1/4)</x:f>
        <x:v>1.681792830507429</x:v>
      </x:c>
      <x:c r="F37" s="17" t="n">
        <x:f>PRODUCT(B37:E37)^(1/4)</x:f>
        <x:v>1.4246626231544801</x:v>
      </x:c>
      <x:c r="G37" s="17" t="n">
        <x:f>F37/SUM($F$35:$F$38)</x:f>
        <x:v>0.33766077184156335</x:v>
      </x:c>
      <x:c r="H37" s="17" t="n">
        <x:f>B37*$G$35+C37*$G$36+D37*$G$37+E37*$G$38</x:f>
        <x:v>1.3560291052668787</x:v>
      </x:c>
      <x:c r="I37" s="17" t="n">
        <x:f>H37/G37</x:f>
        <x:v>4.015950973135703</x:v>
      </x:c>
    </x:row>
    <x:row r="38">
      <x:c r="A38" s="16" t="str">
        <x:v>A4 Волонтёрские смены</x:v>
      </x:c>
      <x:c r="B38" s="17" t="n">
        <x:f>1/E35</x:f>
        <x:v>0.8408964152537146</x:v>
      </x:c>
      <x:c r="C38" s="17" t="n">
        <x:f>1/E36</x:f>
        <x:v>1.6817928305074292</x:v>
      </x:c>
      <x:c r="D38" s="17" t="n">
        <x:f>1/E37</x:f>
        <x:v>0.5946035575013605</x:v>
      </x:c>
      <x:c r="E38" s="17" t="n">
        <x:v>1</x:v>
      </x:c>
      <x:c r="F38" s="17" t="n">
        <x:f>PRODUCT(B38:E38)^(1/4)</x:f>
        <x:v>0.9576032806985737</x:v>
      </x:c>
      <x:c r="G38" s="17" t="n">
        <x:f>F38/SUM($F$35:$F$38)</x:f>
        <x:v>0.22696255072849794</x:v>
      </x:c>
      <x:c r="H38" s="17" t="n">
        <x:f>B38*$G$35+C38*$G$36+D38*$G$37+E38*$G$38</x:f>
        <x:v>0.9106170934090969</x:v>
      </x:c>
      <x:c r="I38" s="17" t="n">
        <x:f>H38/G38</x:f>
        <x:v>4.012190956112469</x:v>
      </x:c>
    </x:row>
    <x:row r="39">
      <x:c r="A39" s="16"/>
      <x:c r="B39" s="17"/>
      <x:c r="C39" s="17"/>
      <x:c r="D39" s="17"/>
      <x:c r="E39" s="17"/>
      <x:c r="F39" s="17"/>
      <x:c r="G39" s="17"/>
      <x:c r="H39" s="17" t="str">
        <x:v>λmax</x:v>
      </x:c>
      <x:c r="I39" s="17" t="n">
        <x:f>AVERAGE(I35:I38)</x:f>
        <x:v>4.010743511999785</x:v>
      </x:c>
    </x:row>
    <x:row r="40">
      <x:c r="A40" s="16"/>
      <x:c r="B40" s="17"/>
      <x:c r="C40" s="17"/>
      <x:c r="D40" s="17"/>
      <x:c r="E40" s="17"/>
      <x:c r="F40" s="17"/>
      <x:c r="G40" s="17"/>
      <x:c r="H40" s="17" t="str">
        <x:v>CI</x:v>
      </x:c>
      <x:c r="I40" s="17" t="n">
        <x:f>(I39-4)/3</x:f>
        <x:v>0.003581170666595135</x:v>
      </x:c>
    </x:row>
    <x:row r="41">
      <x:c r="A41" s="16"/>
      <x:c r="B41" s="17"/>
      <x:c r="C41" s="17"/>
      <x:c r="D41" s="17"/>
      <x:c r="E41" s="17"/>
      <x:c r="F41" s="17"/>
      <x:c r="G41" s="17"/>
      <x:c r="H41" s="17" t="str">
        <x:v>CR</x:v>
      </x:c>
      <x:c r="I41" s="17" t="n">
        <x:f>I40/0.9</x:f>
        <x:v>0.003979078518439039</x:v>
      </x:c>
    </x:row>
    <x:row r="42">
      <x:c r="A42" s="16"/>
      <x:c r="B42" s="17"/>
      <x:c r="C42" s="17"/>
      <x:c r="D42" s="17"/>
      <x:c r="E42" s="17"/>
      <x:c r="F42" s="17"/>
      <x:c r="G42" s="17"/>
      <x:c r="H42" s="17"/>
      <x:c r="I42" s="17"/>
    </x:row>
    <x:row r="43">
      <x:c r="A43" s="15" t="str">
        <x:v>Альтернативы по C4 Пригодность для планирования</x:v>
      </x:c>
      <x:c r="B43" s="18"/>
      <x:c r="C43" s="18"/>
      <x:c r="D43" s="18"/>
      <x:c r="E43" s="18"/>
      <x:c r="F43" s="18"/>
      <x:c r="G43" s="18"/>
      <x:c r="H43" s="18"/>
      <x:c r="I43" s="18"/>
    </x:row>
    <x:row r="44">
      <x:c r="A44" s="20" t="str">
        <x:v>Элемент</x:v>
      </x:c>
      <x:c r="B44" s="21" t="str">
        <x:v>A1 Бронирование помещений</x:v>
      </x:c>
      <x:c r="C44" s="21" t="str">
        <x:v>A2 Учебные группы</x:v>
      </x:c>
      <x:c r="D44" s="21" t="str">
        <x:v>A3 Студенческие события</x:v>
      </x:c>
      <x:c r="E44" s="21" t="str">
        <x:v>A4 Волонтёрские смены</x:v>
      </x:c>
      <x:c r="F44" s="21" t="str">
        <x:v>Геом. ср.</x:v>
      </x:c>
      <x:c r="G44" s="21" t="str">
        <x:v>Приоритет</x:v>
      </x:c>
      <x:c r="H44" s="21" t="str">
        <x:v>Aw</x:v>
      </x:c>
      <x:c r="I44" s="21" t="str">
        <x:v>Aw/w</x:v>
      </x:c>
    </x:row>
    <x:row r="45">
      <x:c r="A45" s="16" t="str">
        <x:v>A1 Бронирование помещений</x:v>
      </x:c>
      <x:c r="B45" s="17" t="n">
        <x:v>1</x:v>
      </x:c>
      <x:c r="C45" s="17" t="n">
        <x:f>('Эксперт 1'!D57*'Эксперт 2'!D57*'Эксперт 3'!D57*'Эксперт 4'!D57)^(1/4)</x:f>
        <x:v>2</x:v>
      </x:c>
      <x:c r="D45" s="17" t="n">
        <x:f>('Эксперт 1'!D58*'Эксперт 2'!D58*'Эксперт 3'!D58*'Эксперт 4'!D58)^(1/4)</x:f>
        <x:v>1</x:v>
      </x:c>
      <x:c r="E45" s="17" t="n">
        <x:f>('Эксперт 1'!D59*'Эксперт 2'!D59*'Эксперт 3'!D59*'Эксперт 4'!D59)^(1/4)</x:f>
        <x:v>0.5946035575013605</x:v>
      </x:c>
      <x:c r="F45" s="17" t="n">
        <x:f>PRODUCT(B45:E45)^(1/4)</x:f>
        <x:v>1.0442737824274138</x:v>
      </x:c>
      <x:c r="G45" s="17" t="n">
        <x:f>F45/SUM($F$45:$F$48)</x:f>
        <x:v>0.24595554429057037</x:v>
      </x:c>
      <x:c r="H45" s="17" t="n">
        <x:f>B45*$G$45+C45*$G$46+D45*$G$47+E45*$G$48</x:f>
        <x:v>0.9902723017559858</x:v>
      </x:c>
      <x:c r="I45" s="17" t="n">
        <x:f>H45/G45</x:f>
        <x:v>4.026224757861462</x:v>
      </x:c>
    </x:row>
    <x:row r="46">
      <x:c r="A46" s="16" t="str">
        <x:v>A2 Учебные группы</x:v>
      </x:c>
      <x:c r="B46" s="17" t="n">
        <x:f>1/C45</x:f>
        <x:v>0.5</x:v>
      </x:c>
      <x:c r="C46" s="17" t="n">
        <x:v>1</x:v>
      </x:c>
      <x:c r="D46" s="17" t="n">
        <x:f>('Эксперт 1'!D60*'Эксперт 2'!D60*'Эксперт 3'!D60*'Эксперт 4'!D60)^(1/4)</x:f>
        <x:v>0.5</x:v>
      </x:c>
      <x:c r="E46" s="17" t="n">
        <x:f>('Эксперт 1'!D61*'Эксперт 2'!D61*'Эксперт 3'!D61*'Эксперт 4'!D61)^(1/4)</x:f>
        <x:v>0.36889397323344053</x:v>
      </x:c>
      <x:c r="F46" s="17" t="n">
        <x:f>PRODUCT(B46:E46)^(1/4)</x:f>
        <x:v>0.5510745975773502</x:v>
      </x:c>
      <x:c r="G46" s="17" t="n">
        <x:f>F46/SUM($F$45:$F$48)</x:f>
        <x:v>0.1297934075073511</x:v>
      </x:c>
      <x:c r="H46" s="17" t="n">
        <x:f>B46*$G$45+C46*$G$46+D46*$G$47+E46*$G$48</x:f>
        <x:v>0.5197752968848921</x:v>
      </x:c>
      <x:c r="I46" s="17" t="n">
        <x:f>H46/G46</x:f>
        <x:v>4.00463557330871</x:v>
      </x:c>
    </x:row>
    <x:row r="47">
      <x:c r="A47" s="16" t="str">
        <x:v>A3 Студенческие события</x:v>
      </x:c>
      <x:c r="B47" s="17" t="n">
        <x:f>1/D45</x:f>
        <x:v>1</x:v>
      </x:c>
      <x:c r="C47" s="17" t="n">
        <x:f>1/D46</x:f>
        <x:v>2</x:v>
      </x:c>
      <x:c r="D47" s="17" t="n">
        <x:v>1</x:v>
      </x:c>
      <x:c r="E47" s="17" t="n">
        <x:f>('Эксперт 1'!D62*'Эксперт 2'!D62*'Эксперт 3'!D62*'Эксперт 4'!D62)^(1/4)</x:f>
        <x:v>1</x:v>
      </x:c>
      <x:c r="F47" s="17" t="n">
        <x:f>PRODUCT(B47:E47)^(1/4)</x:f>
        <x:v>1.189207115002721</x:v>
      </x:c>
      <x:c r="G47" s="17" t="n">
        <x:f>F47/SUM($F$45:$F$48)</x:f>
        <x:v>0.2800913784934977</x:v>
      </x:c>
      <x:c r="H47" s="17" t="n">
        <x:f>B47*$G$45+C47*$G$46+D47*$G$47+E47*$G$48</x:f>
        <x:v>1.1297934075073512</x:v>
      </x:c>
      <x:c r="I47" s="17" t="n">
        <x:f>H47/G47</x:f>
        <x:v>4.033660063312443</x:v>
      </x:c>
    </x:row>
    <x:row r="48">
      <x:c r="A48" s="16" t="str">
        <x:v>A4 Волонтёрские смены</x:v>
      </x:c>
      <x:c r="B48" s="17" t="n">
        <x:f>1/E45</x:f>
        <x:v>1.6817928305074292</x:v>
      </x:c>
      <x:c r="C48" s="17" t="n">
        <x:f>1/E46</x:f>
        <x:v>2.7108060108295344</x:v>
      </x:c>
      <x:c r="D48" s="17" t="n">
        <x:f>1/E47</x:f>
        <x:v>1</x:v>
      </x:c>
      <x:c r="E48" s="17" t="n">
        <x:v>1</x:v>
      </x:c>
      <x:c r="F48" s="17" t="n">
        <x:f>PRODUCT(B48:E48)^(1/4)</x:f>
        <x:v>1.4612271542086477</x:v>
      </x:c>
      <x:c r="G48" s="17" t="n">
        <x:f>F48/SUM($F$45:$F$48)</x:f>
        <x:v>0.34415966970858086</x:v>
      </x:c>
      <x:c r="H48" s="17" t="n">
        <x:f>B48*$G$45+C48*$G$46+D48*$G$47+E48*$G$48</x:f>
        <x:v>1.3897420684504869</x:v>
      </x:c>
      <x:c r="I48" s="17" t="n">
        <x:f>H48/G48</x:f>
        <x:v>4.038073576800149</x:v>
      </x:c>
    </x:row>
    <x:row r="49">
      <x:c r="A49" s="16"/>
      <x:c r="B49" s="17"/>
      <x:c r="C49" s="17"/>
      <x:c r="D49" s="17"/>
      <x:c r="E49" s="17"/>
      <x:c r="F49" s="17"/>
      <x:c r="G49" s="17"/>
      <x:c r="H49" s="17" t="str">
        <x:v>λmax</x:v>
      </x:c>
      <x:c r="I49" s="17" t="n">
        <x:f>AVERAGE(I45:I48)</x:f>
        <x:v>4.02564849282069</x:v>
      </x:c>
    </x:row>
    <x:row r="50">
      <x:c r="A50" s="16"/>
      <x:c r="B50" s="17"/>
      <x:c r="C50" s="17"/>
      <x:c r="D50" s="17"/>
      <x:c r="E50" s="17"/>
      <x:c r="F50" s="17"/>
      <x:c r="G50" s="17"/>
      <x:c r="H50" s="17" t="str">
        <x:v>CI</x:v>
      </x:c>
      <x:c r="I50" s="17" t="n">
        <x:f>(I49-4)/3</x:f>
        <x:v>0.008549497606896791</x:v>
      </x:c>
    </x:row>
    <x:row r="51">
      <x:c r="A51" s="16"/>
      <x:c r="B51" s="17"/>
      <x:c r="C51" s="17"/>
      <x:c r="D51" s="17"/>
      <x:c r="E51" s="17"/>
      <x:c r="F51" s="17"/>
      <x:c r="G51" s="17"/>
      <x:c r="H51" s="17" t="str">
        <x:v>CR</x:v>
      </x:c>
      <x:c r="I51" s="17" t="n">
        <x:f>I50/0.9</x:f>
        <x:v>0.009499441785440878</x:v>
      </x:c>
    </x:row>
    <x:row r="52">
      <x:c r="A52" s="16"/>
      <x:c r="B52" s="17"/>
      <x:c r="C52" s="17"/>
      <x:c r="D52" s="17"/>
      <x:c r="E52" s="17"/>
      <x:c r="F52" s="17"/>
      <x:c r="G52" s="17"/>
      <x:c r="H52" s="17"/>
      <x:c r="I52" s="17"/>
    </x:row>
    <x:row r="53">
      <x:c r="A53" s="16"/>
      <x:c r="B53" s="17"/>
      <x:c r="C53" s="17"/>
      <x:c r="D53" s="17"/>
      <x:c r="E53" s="17"/>
      <x:c r="F53" s="17"/>
      <x:c r="G53" s="17"/>
      <x:c r="H53" s="17"/>
      <x:c r="I53" s="17"/>
    </x:row>
    <x:row r="54">
      <x:c r="A54" s="16"/>
      <x:c r="B54" s="17"/>
      <x:c r="C54" s="17"/>
      <x:c r="D54" s="17"/>
      <x:c r="E54" s="17"/>
      <x:c r="F54" s="17"/>
      <x:c r="G54" s="17"/>
      <x:c r="H54" s="17"/>
      <x:c r="I54" s="17"/>
    </x:row>
    <x:row r="55">
      <x:c r="A55" s="15" t="str">
        <x:v>Альтернатива</x:v>
      </x:c>
      <x:c r="B55" s="18" t="str">
        <x:v>По C1</x:v>
      </x:c>
      <x:c r="C55" s="18" t="str">
        <x:v>По C2</x:v>
      </x:c>
      <x:c r="D55" s="18" t="str">
        <x:v>По C3</x:v>
      </x:c>
      <x:c r="E55" s="18" t="str">
        <x:v>По C4</x:v>
      </x:c>
      <x:c r="F55" s="18" t="str">
        <x:v>Глобальный вес</x:v>
      </x:c>
      <x:c r="G55" s="18" t="str">
        <x:v>Место</x:v>
      </x:c>
      <x:c r="H55" s="17"/>
      <x:c r="I55" s="17"/>
    </x:row>
    <x:row r="56">
      <x:c r="A56" s="16" t="str">
        <x:v>A1</x:v>
      </x:c>
      <x:c r="B56" s="17" t="n">
        <x:f>G15</x:f>
        <x:v>0.19259070878133588</x:v>
      </x:c>
      <x:c r="C56" s="17" t="n">
        <x:f>G25</x:f>
        <x:v>0.1564352183077154</x:v>
      </x:c>
      <x:c r="D56" s="17" t="n">
        <x:f>G35</x:f>
        <x:v>0.2965087300100307</x:v>
      </x:c>
      <x:c r="E56" s="17" t="n">
        <x:f>G45</x:f>
        <x:v>0.24595554429057037</x:v>
      </x:c>
      <x:c r="F56" s="17" t="n">
        <x:f>$G$5*B56+$G$6*C56+$G$7*D56+$G$8*E56</x:f>
        <x:v>0.20940409514677907</x:v>
      </x:c>
      <x:c r="G56" s="19" t="n">
        <x:f>RANK(F56,$F$56:$F$59,0)</x:f>
        <x:v>4</x:v>
      </x:c>
      <x:c r="H56" s="17"/>
      <x:c r="I56" s="17"/>
    </x:row>
    <x:row r="57">
      <x:c r="A57" s="16" t="str">
        <x:v>A2</x:v>
      </x:c>
      <x:c r="B57" s="17" t="n">
        <x:f>G16</x:f>
        <x:v>0.22494904790434353</x:v>
      </x:c>
      <x:c r="C57" s="17" t="n">
        <x:f>G26</x:f>
        <x:v>0.3551346490288984</x:v>
      </x:c>
      <x:c r="D57" s="17" t="n">
        <x:f>G36</x:f>
        <x:v>0.138867947419908</x:v>
      </x:c>
      <x:c r="E57" s="17" t="n">
        <x:f>G46</x:f>
        <x:v>0.1297934075073511</x:v>
      </x:c>
      <x:c r="F57" s="17" t="n">
        <x:f>$G$5*B57+$G$6*C57+$G$7*D57+$G$8*E57</x:f>
        <x:v>0.2277835217913446</x:v>
      </x:c>
      <x:c r="G57" s="19" t="n">
        <x:f>RANK(F57,$F$56:$F$59,0)</x:f>
        <x:v>3</x:v>
      </x:c>
      <x:c r="H57" s="17"/>
      <x:c r="I57" s="17"/>
    </x:row>
    <x:row r="58">
      <x:c r="A58" s="16" t="str">
        <x:v>A3</x:v>
      </x:c>
      <x:c r="B58" s="17" t="n">
        <x:f>G17</x:f>
        <x:v>0.32629082416151556</x:v>
      </x:c>
      <x:c r="C58" s="17" t="n">
        <x:f>G27</x:f>
        <x:v>0.278814572847857</x:v>
      </x:c>
      <x:c r="D58" s="17" t="n">
        <x:f>G37</x:f>
        <x:v>0.33766077184156335</x:v>
      </x:c>
      <x:c r="E58" s="17" t="n">
        <x:f>G47</x:f>
        <x:v>0.2800913784934977</x:v>
      </x:c>
      <x:c r="F58" s="17" t="n">
        <x:f>$G$5*B58+$G$6*C58+$G$7*D58+$G$8*E58</x:f>
        <x:v>0.3011830787131089</x:v>
      </x:c>
      <x:c r="G58" s="19" t="n">
        <x:f>RANK(F58,$F$56:$F$59,0)</x:f>
        <x:v>1</x:v>
      </x:c>
      <x:c r="H58" s="17"/>
      <x:c r="I58" s="17"/>
    </x:row>
    <x:row r="59">
      <x:c r="A59" s="16" t="str">
        <x:v>A4</x:v>
      </x:c>
      <x:c r="B59" s="17" t="n">
        <x:f>G18</x:f>
        <x:v>0.256169419152805</x:v>
      </x:c>
      <x:c r="C59" s="17" t="n">
        <x:f>G28</x:f>
        <x:v>0.20961555981552923</x:v>
      </x:c>
      <x:c r="D59" s="17" t="n">
        <x:f>G38</x:f>
        <x:v>0.22696255072849794</x:v>
      </x:c>
      <x:c r="E59" s="17" t="n">
        <x:f>G48</x:f>
        <x:v>0.34415966970858086</x:v>
      </x:c>
      <x:c r="F59" s="17" t="n">
        <x:f>$G$5*B59+$G$6*C59+$G$7*D59+$G$8*E59</x:f>
        <x:v>0.2616293043487676</x:v>
      </x:c>
      <x:c r="G59" s="19" t="n">
        <x:f>RANK(F59,$F$56:$F$59,0)</x:f>
        <x:v>2</x:v>
      </x:c>
      <x:c r="H59" s="17"/>
      <x:c r="I59" s="17"/>
    </x:row>
  </x:sheetData>
  <x:mergeCells>
    <x:mergeCell ref="A1:I1"/>
    <x:mergeCell ref="A3:I3"/>
    <x:mergeCell ref="A13:I13"/>
    <x:mergeCell ref="A23:I23"/>
    <x:mergeCell ref="A33:I33"/>
    <x:mergeCell ref="A43:I4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</x:cols>
  <x:sheetData>
    <x:row r="1">
      <x:c r="A1" s="10" t="str">
        <x:v>Оценки сценарного профиля M1</x:v>
      </x:c>
      <x:c r="B1" s="10"/>
      <x:c r="C1" s="10"/>
      <x:c r="D1" s="10"/>
      <x:c r="E1" s="10"/>
      <x:c r="F1" s="10"/>
      <x:c r="G1" s="10"/>
    </x:row>
    <x:row r="3">
      <x:c r="A3" t="str">
        <x:v>Сценарный профиль</x:v>
      </x:c>
      <x:c r="B3" t="str">
        <x:v>M1 — Акцент на практической пользе и понятном пользовательском сценарии</x:v>
      </x:c>
    </x:row>
    <x:row r="4">
      <x:c r="A4" t="str">
        <x:v>Сценарные исходные значения; индивидуальный опрос участников не проводился.</x:v>
      </x:c>
    </x:row>
    <x:row r="5">
      <x:c r="A5" s="6" t="str">
        <x:v>Нечёткий TOPSIS — три оценки по шкале 1–9</x:v>
      </x:c>
      <x:c r="B5" s="6"/>
      <x:c r="C5" s="6"/>
      <x:c r="D5" s="6"/>
      <x:c r="E5" s="6"/>
      <x:c r="F5" s="6"/>
      <x:c r="G5" s="6"/>
    </x:row>
    <x:row r="6">
      <x:c r="A6" s="12" t="str">
        <x:v>Тип</x:v>
      </x:c>
      <x:c r="B6" s="12" t="str">
        <x:v>Концепция</x:v>
      </x:c>
      <x:c r="C6" s="12" t="str">
        <x:v>Критерий</x:v>
      </x:c>
      <x:c r="D6" s="12" t="str">
        <x:v>Пессимистичная</x:v>
      </x:c>
      <x:c r="E6" s="12" t="str">
        <x:v>Ожидаемая</x:v>
      </x:c>
      <x:c r="F6" s="12" t="str">
        <x:v>Оптимистичная</x:v>
      </x:c>
      <x:c r="G6" s="12" t="str">
        <x:v>Проверка</x:v>
      </x:c>
    </x:row>
    <x:row r="7">
      <x:c r="A7" s="13" t="str">
        <x:v>Вес критерия</x:v>
      </x:c>
      <x:c r="B7" s="13" t="str">
        <x:v>—</x:v>
      </x:c>
      <x:c r="C7" s="13" t="str">
        <x:v>C1 Полезность</x:v>
      </x:c>
      <x:c r="D7" s="14" t="n">
        <x:v>7</x:v>
      </x:c>
      <x:c r="E7" s="14" t="n">
        <x:v>8</x:v>
      </x:c>
      <x:c r="F7" s="14" t="n">
        <x:v>9</x:v>
      </x:c>
      <x:c r="G7" s="13" t="str">
        <x:f>IF(COUNTA(D7:F7)=0,"",IF(AND(COUNT(D7:F7)=3,D7&gt;=1,F7&lt;=9,D7&lt;=E7,E7&lt;=F7),"ОК","Проверьте"))</x:f>
        <x:v>ОК</x:v>
      </x:c>
    </x:row>
    <x:row r="8">
      <x:c r="A8" s="13" t="str">
        <x:v>Вес критерия</x:v>
      </x:c>
      <x:c r="B8" s="13" t="str">
        <x:v>—</x:v>
      </x:c>
      <x:c r="C8" s="13" t="str">
        <x:v>C2 Реализуемость</x:v>
      </x:c>
      <x:c r="D8" s="14" t="n">
        <x:v>6</x:v>
      </x:c>
      <x:c r="E8" s="14" t="n">
        <x:v>7</x:v>
      </x:c>
      <x:c r="F8" s="14" t="n">
        <x:v>8</x:v>
      </x:c>
      <x:c r="G8" s="13" t="str">
        <x:f>IF(COUNTA(D8:F8)=0,"",IF(AND(COUNT(D8:F8)=3,D8&gt;=1,F8&lt;=9,D8&lt;=E8,E8&lt;=F8),"ОК","Проверьте"))</x:f>
        <x:v>ОК</x:v>
      </x:c>
    </x:row>
    <x:row r="9">
      <x:c r="A9" s="13" t="str">
        <x:v>Вес критерия</x:v>
      </x:c>
      <x:c r="B9" s="13" t="str">
        <x:v>—</x:v>
      </x:c>
      <x:c r="C9" s="13" t="str">
        <x:v>C3 Ясность сценариев</x:v>
      </x:c>
      <x:c r="D9" s="14" t="n">
        <x:v>5</x:v>
      </x:c>
      <x:c r="E9" s="14" t="n">
        <x:v>6</x:v>
      </x:c>
      <x:c r="F9" s="14" t="n">
        <x:v>7</x:v>
      </x:c>
      <x:c r="G9" s="13" t="str">
        <x:f>IF(COUNTA(D9:F9)=0,"",IF(AND(COUNT(D9:F9)=3,D9&gt;=1,F9&lt;=9,D9&lt;=E9,E9&lt;=F9),"ОК","Проверьте"))</x:f>
        <x:v>ОК</x:v>
      </x:c>
    </x:row>
    <x:row r="10">
      <x:c r="A10" s="13" t="str">
        <x:v>Вес критерия</x:v>
      </x:c>
      <x:c r="B10" s="13" t="str">
        <x:v>—</x:v>
      </x:c>
      <x:c r="C10" s="13" t="str">
        <x:v>C4 Пригодность для планирования</x:v>
      </x:c>
      <x:c r="D10" s="14" t="n">
        <x:v>6</x:v>
      </x:c>
      <x:c r="E10" s="14" t="n">
        <x:v>7</x:v>
      </x:c>
      <x:c r="F10" s="14" t="n">
        <x:v>8</x:v>
      </x:c>
      <x:c r="G10" s="13" t="str">
        <x:f>IF(COUNTA(D10:F10)=0,"",IF(AND(COUNT(D10:F10)=3,D10&gt;=1,F10&lt;=9,D10&lt;=E10,E10&lt;=F10),"ОК","Проверьте"))</x:f>
        <x:v>ОК</x:v>
      </x:c>
    </x:row>
    <x:row r="11">
      <x:c r="A11" s="13" t="str">
        <x:v>Оценка концепции</x:v>
      </x:c>
      <x:c r="B11" s="13" t="str">
        <x:v>A1 Бронирование помещений</x:v>
      </x:c>
      <x:c r="C11" s="13" t="str">
        <x:v>C1 Полезность</x:v>
      </x:c>
      <x:c r="D11" s="14" t="n">
        <x:v>6</x:v>
      </x:c>
      <x:c r="E11" s="14" t="n">
        <x:v>7</x:v>
      </x:c>
      <x:c r="F11" s="14" t="n">
        <x:v>8</x:v>
      </x:c>
      <x:c r="G11" s="13" t="str">
        <x:f>IF(COUNTA(D11:F11)=0,"",IF(AND(COUNT(D11:F11)=3,D11&gt;=1,F11&lt;=9,D11&lt;=E11,E11&lt;=F11),"ОК","Проверьте"))</x:f>
        <x:v>ОК</x:v>
      </x:c>
    </x:row>
    <x:row r="12">
      <x:c r="A12" s="13" t="str">
        <x:v>Оценка концепции</x:v>
      </x:c>
      <x:c r="B12" s="13" t="str">
        <x:v>A1 Бронирование помещений</x:v>
      </x:c>
      <x:c r="C12" s="13" t="str">
        <x:v>C2 Реализуемость</x:v>
      </x:c>
      <x:c r="D12" s="14" t="n">
        <x:v>4</x:v>
      </x:c>
      <x:c r="E12" s="14" t="n">
        <x:v>5</x:v>
      </x:c>
      <x:c r="F12" s="14" t="n">
        <x:v>6</x:v>
      </x:c>
      <x:c r="G12" s="13" t="str">
        <x:f>IF(COUNTA(D12:F12)=0,"",IF(AND(COUNT(D12:F12)=3,D12&gt;=1,F12&lt;=9,D12&lt;=E12,E12&lt;=F12),"ОК","Проверьте"))</x:f>
        <x:v>ОК</x:v>
      </x:c>
    </x:row>
    <x:row r="13">
      <x:c r="A13" s="13" t="str">
        <x:v>Оценка концепции</x:v>
      </x:c>
      <x:c r="B13" s="13" t="str">
        <x:v>A1 Бронирование помещений</x:v>
      </x:c>
      <x:c r="C13" s="13" t="str">
        <x:v>C3 Ясность сценариев</x:v>
      </x:c>
      <x:c r="D13" s="14" t="n">
        <x:v>7</x:v>
      </x:c>
      <x:c r="E13" s="14" t="n">
        <x:v>8</x:v>
      </x:c>
      <x:c r="F13" s="14" t="n">
        <x:v>9</x:v>
      </x:c>
      <x:c r="G13" s="13" t="str">
        <x:f>IF(COUNTA(D13:F13)=0,"",IF(AND(COUNT(D13:F13)=3,D13&gt;=1,F13&lt;=9,D13&lt;=E13,E13&lt;=F13),"ОК","Проверьте"))</x:f>
        <x:v>ОК</x:v>
      </x:c>
    </x:row>
    <x:row r="14">
      <x:c r="A14" s="13" t="str">
        <x:v>Оценка концепции</x:v>
      </x:c>
      <x:c r="B14" s="13" t="str">
        <x:v>A1 Бронирование помещений</x:v>
      </x:c>
      <x:c r="C14" s="13" t="str">
        <x:v>C4 Пригодность для планирования</x:v>
      </x:c>
      <x:c r="D14" s="14" t="n">
        <x:v>6</x:v>
      </x:c>
      <x:c r="E14" s="14" t="n">
        <x:v>7</x:v>
      </x:c>
      <x:c r="F14" s="14" t="n">
        <x:v>8</x:v>
      </x:c>
      <x:c r="G14" s="13" t="str">
        <x:f>IF(COUNTA(D14:F14)=0,"",IF(AND(COUNT(D14:F14)=3,D14&gt;=1,F14&lt;=9,D14&lt;=E14,E14&lt;=F14),"ОК","Проверьте"))</x:f>
        <x:v>ОК</x:v>
      </x:c>
    </x:row>
    <x:row r="15">
      <x:c r="A15" s="13" t="str">
        <x:v>Оценка концепции</x:v>
      </x:c>
      <x:c r="B15" s="13" t="str">
        <x:v>A2 Учебные группы</x:v>
      </x:c>
      <x:c r="C15" s="13" t="str">
        <x:v>C1 Полезность</x:v>
      </x:c>
      <x:c r="D15" s="14" t="n">
        <x:v>6</x:v>
      </x:c>
      <x:c r="E15" s="14" t="n">
        <x:v>7</x:v>
      </x:c>
      <x:c r="F15" s="14" t="n">
        <x:v>8</x:v>
      </x:c>
      <x:c r="G15" s="13" t="str">
        <x:f>IF(COUNTA(D15:F15)=0,"",IF(AND(COUNT(D15:F15)=3,D15&gt;=1,F15&lt;=9,D15&lt;=E15,E15&lt;=F15),"ОК","Проверьте"))</x:f>
        <x:v>ОК</x:v>
      </x:c>
    </x:row>
    <x:row r="16">
      <x:c r="A16" s="13" t="str">
        <x:v>Оценка концепции</x:v>
      </x:c>
      <x:c r="B16" s="13" t="str">
        <x:v>A2 Учебные группы</x:v>
      </x:c>
      <x:c r="C16" s="13" t="str">
        <x:v>C2 Реализуемость</x:v>
      </x:c>
      <x:c r="D16" s="14" t="n">
        <x:v>7</x:v>
      </x:c>
      <x:c r="E16" s="14" t="n">
        <x:v>8</x:v>
      </x:c>
      <x:c r="F16" s="14" t="n">
        <x:v>9</x:v>
      </x:c>
      <x:c r="G16" s="13" t="str">
        <x:f>IF(COUNTA(D16:F16)=0,"",IF(AND(COUNT(D16:F16)=3,D16&gt;=1,F16&lt;=9,D16&lt;=E16,E16&lt;=F16),"ОК","Проверьте"))</x:f>
        <x:v>ОК</x:v>
      </x:c>
    </x:row>
    <x:row r="17">
      <x:c r="A17" s="13" t="str">
        <x:v>Оценка концепции</x:v>
      </x:c>
      <x:c r="B17" s="13" t="str">
        <x:v>A2 Учебные группы</x:v>
      </x:c>
      <x:c r="C17" s="13" t="str">
        <x:v>C3 Ясность сценариев</x:v>
      </x:c>
      <x:c r="D17" s="14" t="n">
        <x:v>5</x:v>
      </x:c>
      <x:c r="E17" s="14" t="n">
        <x:v>6</x:v>
      </x:c>
      <x:c r="F17" s="14" t="n">
        <x:v>7</x:v>
      </x:c>
      <x:c r="G17" s="13" t="str">
        <x:f>IF(COUNTA(D17:F17)=0,"",IF(AND(COUNT(D17:F17)=3,D17&gt;=1,F17&lt;=9,D17&lt;=E17,E17&lt;=F17),"ОК","Проверьте"))</x:f>
        <x:v>ОК</x:v>
      </x:c>
    </x:row>
    <x:row r="18">
      <x:c r="A18" s="13" t="str">
        <x:v>Оценка концепции</x:v>
      </x:c>
      <x:c r="B18" s="13" t="str">
        <x:v>A2 Учебные группы</x:v>
      </x:c>
      <x:c r="C18" s="13" t="str">
        <x:v>C4 Пригодность для планирования</x:v>
      </x:c>
      <x:c r="D18" s="14" t="n">
        <x:v>5</x:v>
      </x:c>
      <x:c r="E18" s="14" t="n">
        <x:v>6</x:v>
      </x:c>
      <x:c r="F18" s="14" t="n">
        <x:v>7</x:v>
      </x:c>
      <x:c r="G18" s="13" t="str">
        <x:f>IF(COUNTA(D18:F18)=0,"",IF(AND(COUNT(D18:F18)=3,D18&gt;=1,F18&lt;=9,D18&lt;=E18,E18&lt;=F18),"ОК","Проверьте"))</x:f>
        <x:v>ОК</x:v>
      </x:c>
    </x:row>
    <x:row r="19">
      <x:c r="A19" s="13" t="str">
        <x:v>Оценка концепции</x:v>
      </x:c>
      <x:c r="B19" s="13" t="str">
        <x:v>A3 Студенческие события</x:v>
      </x:c>
      <x:c r="C19" s="13" t="str">
        <x:v>C1 Полезность</x:v>
      </x:c>
      <x:c r="D19" s="14" t="n">
        <x:v>7</x:v>
      </x:c>
      <x:c r="E19" s="14" t="n">
        <x:v>8</x:v>
      </x:c>
      <x:c r="F19" s="14" t="n">
        <x:v>9</x:v>
      </x:c>
      <x:c r="G19" s="13" t="str">
        <x:f>IF(COUNTA(D19:F19)=0,"",IF(AND(COUNT(D19:F19)=3,D19&gt;=1,F19&lt;=9,D19&lt;=E19,E19&lt;=F19),"ОК","Проверьте"))</x:f>
        <x:v>ОК</x:v>
      </x:c>
    </x:row>
    <x:row r="20">
      <x:c r="A20" s="13" t="str">
        <x:v>Оценка концепции</x:v>
      </x:c>
      <x:c r="B20" s="13" t="str">
        <x:v>A3 Студенческие события</x:v>
      </x:c>
      <x:c r="C20" s="13" t="str">
        <x:v>C2 Реализуемость</x:v>
      </x:c>
      <x:c r="D20" s="14" t="n">
        <x:v>6</x:v>
      </x:c>
      <x:c r="E20" s="14" t="n">
        <x:v>7</x:v>
      </x:c>
      <x:c r="F20" s="14" t="n">
        <x:v>8</x:v>
      </x:c>
      <x:c r="G20" s="13" t="str">
        <x:f>IF(COUNTA(D20:F20)=0,"",IF(AND(COUNT(D20:F20)=3,D20&gt;=1,F20&lt;=9,D20&lt;=E20,E20&lt;=F20),"ОК","Проверьте"))</x:f>
        <x:v>ОК</x:v>
      </x:c>
    </x:row>
    <x:row r="21">
      <x:c r="A21" s="13" t="str">
        <x:v>Оценка концепции</x:v>
      </x:c>
      <x:c r="B21" s="13" t="str">
        <x:v>A3 Студенческие события</x:v>
      </x:c>
      <x:c r="C21" s="13" t="str">
        <x:v>C3 Ясность сценариев</x:v>
      </x:c>
      <x:c r="D21" s="14" t="n">
        <x:v>7</x:v>
      </x:c>
      <x:c r="E21" s="14" t="n">
        <x:v>8</x:v>
      </x:c>
      <x:c r="F21" s="14" t="n">
        <x:v>9</x:v>
      </x:c>
      <x:c r="G21" s="13" t="str">
        <x:f>IF(COUNTA(D21:F21)=0,"",IF(AND(COUNT(D21:F21)=3,D21&gt;=1,F21&lt;=9,D21&lt;=E21,E21&lt;=F21),"ОК","Проверьте"))</x:f>
        <x:v>ОК</x:v>
      </x:c>
    </x:row>
    <x:row r="22">
      <x:c r="A22" s="13" t="str">
        <x:v>Оценка концепции</x:v>
      </x:c>
      <x:c r="B22" s="13" t="str">
        <x:v>A3 Студенческие события</x:v>
      </x:c>
      <x:c r="C22" s="13" t="str">
        <x:v>C4 Пригодность для планирования</x:v>
      </x:c>
      <x:c r="D22" s="14" t="n">
        <x:v>7</x:v>
      </x:c>
      <x:c r="E22" s="14" t="n">
        <x:v>8</x:v>
      </x:c>
      <x:c r="F22" s="14" t="n">
        <x:v>9</x:v>
      </x:c>
      <x:c r="G22" s="13" t="str">
        <x:f>IF(COUNTA(D22:F22)=0,"",IF(AND(COUNT(D22:F22)=3,D22&gt;=1,F22&lt;=9,D22&lt;=E22,E22&lt;=F22),"ОК","Проверьте"))</x:f>
        <x:v>ОК</x:v>
      </x:c>
    </x:row>
    <x:row r="23">
      <x:c r="A23" s="13" t="str">
        <x:v>Оценка концепции</x:v>
      </x:c>
      <x:c r="B23" s="13" t="str">
        <x:v>A4 Волонтёрские смены</x:v>
      </x:c>
      <x:c r="C23" s="13" t="str">
        <x:v>C1 Полезность</x:v>
      </x:c>
      <x:c r="D23" s="14" t="n">
        <x:v>7</x:v>
      </x:c>
      <x:c r="E23" s="14" t="n">
        <x:v>8</x:v>
      </x:c>
      <x:c r="F23" s="14" t="n">
        <x:v>9</x:v>
      </x:c>
      <x:c r="G23" s="13" t="str">
        <x:f>IF(COUNTA(D23:F23)=0,"",IF(AND(COUNT(D23:F23)=3,D23&gt;=1,F23&lt;=9,D23&lt;=E23,E23&lt;=F23),"ОК","Проверьте"))</x:f>
        <x:v>ОК</x:v>
      </x:c>
    </x:row>
    <x:row r="24">
      <x:c r="A24" s="13" t="str">
        <x:v>Оценка концепции</x:v>
      </x:c>
      <x:c r="B24" s="13" t="str">
        <x:v>A4 Волонтёрские смены</x:v>
      </x:c>
      <x:c r="C24" s="13" t="str">
        <x:v>C2 Реализуемость</x:v>
      </x:c>
      <x:c r="D24" s="14" t="n">
        <x:v>5</x:v>
      </x:c>
      <x:c r="E24" s="14" t="n">
        <x:v>6</x:v>
      </x:c>
      <x:c r="F24" s="14" t="n">
        <x:v>7</x:v>
      </x:c>
      <x:c r="G24" s="13" t="str">
        <x:f>IF(COUNTA(D24:F24)=0,"",IF(AND(COUNT(D24:F24)=3,D24&gt;=1,F24&lt;=9,D24&lt;=E24,E24&lt;=F24),"ОК","Проверьте"))</x:f>
        <x:v>ОК</x:v>
      </x:c>
    </x:row>
    <x:row r="25">
      <x:c r="A25" s="13" t="str">
        <x:v>Оценка концепции</x:v>
      </x:c>
      <x:c r="B25" s="13" t="str">
        <x:v>A4 Волонтёрские смены</x:v>
      </x:c>
      <x:c r="C25" s="13" t="str">
        <x:v>C3 Ясность сценариев</x:v>
      </x:c>
      <x:c r="D25" s="14" t="n">
        <x:v>6</x:v>
      </x:c>
      <x:c r="E25" s="14" t="n">
        <x:v>7</x:v>
      </x:c>
      <x:c r="F25" s="14" t="n">
        <x:v>8</x:v>
      </x:c>
      <x:c r="G25" s="13" t="str">
        <x:f>IF(COUNTA(D25:F25)=0,"",IF(AND(COUNT(D25:F25)=3,D25&gt;=1,F25&lt;=9,D25&lt;=E25,E25&lt;=F25),"ОК","Проверьте"))</x:f>
        <x:v>ОК</x:v>
      </x:c>
    </x:row>
    <x:row r="26">
      <x:c r="A26" s="13" t="str">
        <x:v>Оценка концепции</x:v>
      </x:c>
      <x:c r="B26" s="13" t="str">
        <x:v>A4 Волонтёрские смены</x:v>
      </x:c>
      <x:c r="C26" s="13" t="str">
        <x:v>C4 Пригодность для планирования</x:v>
      </x:c>
      <x:c r="D26" s="14" t="n">
        <x:v>8</x:v>
      </x:c>
      <x:c r="E26" s="14" t="n">
        <x:v>9</x:v>
      </x:c>
      <x:c r="F26" s="14" t="n">
        <x:v>9</x:v>
      </x:c>
      <x:c r="G26" s="13" t="str">
        <x:f>IF(COUNTA(D26:F26)=0,"",IF(AND(COUNT(D26:F26)=3,D26&gt;=1,F26&lt;=9,D26&lt;=E26,E26&lt;=F26),"ОК","Проверьте"))</x:f>
        <x:v>ОК</x:v>
      </x:c>
    </x:row>
    <x:row r="29">
      <x:c r="A29" s="6" t="str">
        <x:v>Чёткий МАИ — парные сравнения</x:v>
      </x:c>
      <x:c r="B29" s="6"/>
      <x:c r="C29" s="6"/>
      <x:c r="D29" s="6"/>
      <x:c r="E29" s="6"/>
      <x:c r="F29" s="6"/>
      <x:c r="G29" s="6"/>
    </x:row>
    <x:row r="30">
      <x:c r="A30" t="str">
        <x:v>Столбец D: предпочтение первого элемента относительно второго, от 1/9 до 9.</x:v>
      </x:c>
    </x:row>
    <x:row r="32">
      <x:c r="A32" s="12" t="str">
        <x:v>Матрица</x:v>
      </x:c>
      <x:c r="B32" s="12" t="str">
        <x:v>Первый элемент</x:v>
      </x:c>
      <x:c r="C32" s="12" t="str">
        <x:v>Второй элемент</x:v>
      </x:c>
      <x:c r="D32" s="12" t="str">
        <x:v>Оценка</x:v>
      </x:c>
      <x:c r="E32" s="13" t="str">
        <x:v>Проверка</x:v>
      </x:c>
    </x:row>
    <x:row r="33">
      <x:c r="A33" s="13" t="str">
        <x:v>Критерии</x:v>
      </x:c>
      <x:c r="B33" s="13" t="str">
        <x:v>C1 Полезность</x:v>
      </x:c>
      <x:c r="C33" s="13" t="str">
        <x:v>C2 Реализуемость</x:v>
      </x:c>
      <x:c r="D33" s="14" t="n">
        <x:v>1</x:v>
      </x:c>
      <x:c r="E33" s="13" t="str">
        <x:f>IF(D33="","",IF(AND(D33&gt;=1/9,D33&lt;=9),"ОК","Проверьте"))</x:f>
        <x:v>ОК</x:v>
      </x:c>
    </x:row>
    <x:row r="34">
      <x:c r="A34" s="13" t="str">
        <x:v>Критерии</x:v>
      </x:c>
      <x:c r="B34" s="13" t="str">
        <x:v>C1 Полезность</x:v>
      </x:c>
      <x:c r="C34" s="13" t="str">
        <x:v>C3 Ясность сценариев</x:v>
      </x:c>
      <x:c r="D34" s="14" t="n">
        <x:v>2</x:v>
      </x:c>
      <x:c r="E34" s="13" t="str">
        <x:f>IF(D34="","",IF(AND(D34&gt;=1/9,D34&lt;=9),"ОК","Проверьте"))</x:f>
        <x:v>ОК</x:v>
      </x:c>
    </x:row>
    <x:row r="35">
      <x:c r="A35" s="13" t="str">
        <x:v>Критерии</x:v>
      </x:c>
      <x:c r="B35" s="13" t="str">
        <x:v>C1 Полезность</x:v>
      </x:c>
      <x:c r="C35" s="13" t="str">
        <x:v>C4 Пригодность для планирования</x:v>
      </x:c>
      <x:c r="D35" s="14" t="n">
        <x:v>1</x:v>
      </x:c>
      <x:c r="E35" s="13" t="str">
        <x:f>IF(D35="","",IF(AND(D35&gt;=1/9,D35&lt;=9),"ОК","Проверьте"))</x:f>
        <x:v>ОК</x:v>
      </x:c>
    </x:row>
    <x:row r="36">
      <x:c r="A36" s="13" t="str">
        <x:v>Критерии</x:v>
      </x:c>
      <x:c r="B36" s="13" t="str">
        <x:v>C2 Реализуемость</x:v>
      </x:c>
      <x:c r="C36" s="13" t="str">
        <x:v>C3 Ясность сценариев</x:v>
      </x:c>
      <x:c r="D36" s="14" t="n">
        <x:v>2</x:v>
      </x:c>
      <x:c r="E36" s="13" t="str">
        <x:f>IF(D36="","",IF(AND(D36&gt;=1/9,D36&lt;=9),"ОК","Проверьте"))</x:f>
        <x:v>ОК</x:v>
      </x:c>
    </x:row>
    <x:row r="37">
      <x:c r="A37" s="13" t="str">
        <x:v>Критерии</x:v>
      </x:c>
      <x:c r="B37" s="13" t="str">
        <x:v>C2 Реализуемость</x:v>
      </x:c>
      <x:c r="C37" s="13" t="str">
        <x:v>C4 Пригодность для планирования</x:v>
      </x:c>
      <x:c r="D37" s="14" t="n">
        <x:v>1</x:v>
      </x:c>
      <x:c r="E37" s="13" t="str">
        <x:f>IF(D37="","",IF(AND(D37&gt;=1/9,D37&lt;=9),"ОК","Проверьте"))</x:f>
        <x:v>ОК</x:v>
      </x:c>
    </x:row>
    <x:row r="38">
      <x:c r="A38" s="13" t="str">
        <x:v>Критерии</x:v>
      </x:c>
      <x:c r="B38" s="13" t="str">
        <x:v>C3 Ясность сценариев</x:v>
      </x:c>
      <x:c r="C38" s="13" t="str">
        <x:v>C4 Пригодность для планирования</x:v>
      </x:c>
      <x:c r="D38" s="14" t="n">
        <x:v>0.5</x:v>
      </x:c>
      <x:c r="E38" s="13" t="str">
        <x:f>IF(D38="","",IF(AND(D38&gt;=1/9,D38&lt;=9),"ОК","Проверьте"))</x:f>
        <x:v>ОК</x:v>
      </x:c>
    </x:row>
    <x:row r="39">
      <x:c r="A39" s="13" t="str">
        <x:v>C1 Полезность</x:v>
      </x:c>
      <x:c r="B39" s="13" t="str">
        <x:v>A1 Бронирование помещений</x:v>
      </x:c>
      <x:c r="C39" s="13" t="str">
        <x:v>A2 Учебные группы</x:v>
      </x:c>
      <x:c r="D39" s="14" t="n">
        <x:v>1</x:v>
      </x:c>
      <x:c r="E39" s="13" t="str">
        <x:f>IF(D39="","",IF(AND(D39&gt;=1/9,D39&lt;=9),"ОК","Проверьте"))</x:f>
        <x:v>ОК</x:v>
      </x:c>
    </x:row>
    <x:row r="40">
      <x:c r="A40" s="13" t="str">
        <x:v>C1 Полезность</x:v>
      </x:c>
      <x:c r="B40" s="13" t="str">
        <x:v>A1 Бронирование помещений</x:v>
      </x:c>
      <x:c r="C40" s="13" t="str">
        <x:v>A3 Студенческие события</x:v>
      </x:c>
      <x:c r="D40" s="14" t="n">
        <x:v>0.5</x:v>
      </x:c>
      <x:c r="E40" s="13" t="str">
        <x:f>IF(D40="","",IF(AND(D40&gt;=1/9,D40&lt;=9),"ОК","Проверьте"))</x:f>
        <x:v>ОК</x:v>
      </x:c>
    </x:row>
    <x:row r="41">
      <x:c r="A41" s="13" t="str">
        <x:v>C1 Полезность</x:v>
      </x:c>
      <x:c r="B41" s="13" t="str">
        <x:v>A1 Бронирование помещений</x:v>
      </x:c>
      <x:c r="C41" s="13" t="str">
        <x:v>A4 Волонтёрские смены</x:v>
      </x:c>
      <x:c r="D41" s="14" t="n">
        <x:v>1</x:v>
      </x:c>
      <x:c r="E41" s="13" t="str">
        <x:f>IF(D41="","",IF(AND(D41&gt;=1/9,D41&lt;=9),"ОК","Проверьте"))</x:f>
        <x:v>ОК</x:v>
      </x:c>
    </x:row>
    <x:row r="42">
      <x:c r="A42" s="13" t="str">
        <x:v>C1 Полезность</x:v>
      </x:c>
      <x:c r="B42" s="13" t="str">
        <x:v>A2 Учебные группы</x:v>
      </x:c>
      <x:c r="C42" s="13" t="str">
        <x:v>A3 Студенческие события</x:v>
      </x:c>
      <x:c r="D42" s="14" t="n">
        <x:v>0.5</x:v>
      </x:c>
      <x:c r="E42" s="13" t="str">
        <x:f>IF(D42="","",IF(AND(D42&gt;=1/9,D42&lt;=9),"ОК","Проверьте"))</x:f>
        <x:v>ОК</x:v>
      </x:c>
    </x:row>
    <x:row r="43">
      <x:c r="A43" s="13" t="str">
        <x:v>C1 Полезность</x:v>
      </x:c>
      <x:c r="B43" s="13" t="str">
        <x:v>A2 Учебные группы</x:v>
      </x:c>
      <x:c r="C43" s="13" t="str">
        <x:v>A4 Волонтёрские смены</x:v>
      </x:c>
      <x:c r="D43" s="14" t="n">
        <x:v>1</x:v>
      </x:c>
      <x:c r="E43" s="13" t="str">
        <x:f>IF(D43="","",IF(AND(D43&gt;=1/9,D43&lt;=9),"ОК","Проверьте"))</x:f>
        <x:v>ОК</x:v>
      </x:c>
    </x:row>
    <x:row r="44">
      <x:c r="A44" s="13" t="str">
        <x:v>C1 Полезность</x:v>
      </x:c>
      <x:c r="B44" s="13" t="str">
        <x:v>A3 Студенческие события</x:v>
      </x:c>
      <x:c r="C44" s="13" t="str">
        <x:v>A4 Волонтёрские смены</x:v>
      </x:c>
      <x:c r="D44" s="14" t="n">
        <x:v>1</x:v>
      </x:c>
      <x:c r="E44" s="13" t="str">
        <x:f>IF(D44="","",IF(AND(D44&gt;=1/9,D44&lt;=9),"ОК","Проверьте"))</x:f>
        <x:v>ОК</x:v>
      </x:c>
    </x:row>
    <x:row r="45">
      <x:c r="A45" s="13" t="str">
        <x:v>C2 Реализуемость</x:v>
      </x:c>
      <x:c r="B45" s="13" t="str">
        <x:v>A1 Бронирование помещений</x:v>
      </x:c>
      <x:c r="C45" s="13" t="str">
        <x:v>A2 Учебные группы</x:v>
      </x:c>
      <x:c r="D45" s="14" t="n">
        <x:v>0.3333333333333333</x:v>
      </x:c>
      <x:c r="E45" s="13" t="str">
        <x:f>IF(D45="","",IF(AND(D45&gt;=1/9,D45&lt;=9),"ОК","Проверьте"))</x:f>
        <x:v>ОК</x:v>
      </x:c>
    </x:row>
    <x:row r="46">
      <x:c r="A46" s="13" t="str">
        <x:v>C2 Реализуемость</x:v>
      </x:c>
      <x:c r="B46" s="13" t="str">
        <x:v>A1 Бронирование помещений</x:v>
      </x:c>
      <x:c r="C46" s="13" t="str">
        <x:v>A3 Студенческие события</x:v>
      </x:c>
      <x:c r="D46" s="14" t="n">
        <x:v>0.5</x:v>
      </x:c>
      <x:c r="E46" s="13" t="str">
        <x:f>IF(D46="","",IF(AND(D46&gt;=1/9,D46&lt;=9),"ОК","Проверьте"))</x:f>
        <x:v>ОК</x:v>
      </x:c>
    </x:row>
    <x:row r="47">
      <x:c r="A47" s="13" t="str">
        <x:v>C2 Реализуемость</x:v>
      </x:c>
      <x:c r="B47" s="13" t="str">
        <x:v>A1 Бронирование помещений</x:v>
      </x:c>
      <x:c r="C47" s="13" t="str">
        <x:v>A4 Волонтёрские смены</x:v>
      </x:c>
      <x:c r="D47" s="14" t="n">
        <x:v>0.5</x:v>
      </x:c>
      <x:c r="E47" s="13" t="str">
        <x:f>IF(D47="","",IF(AND(D47&gt;=1/9,D47&lt;=9),"ОК","Проверьте"))</x:f>
        <x:v>ОК</x:v>
      </x:c>
    </x:row>
    <x:row r="48">
      <x:c r="A48" s="13" t="str">
        <x:v>C2 Реализуемость</x:v>
      </x:c>
      <x:c r="B48" s="13" t="str">
        <x:v>A2 Учебные группы</x:v>
      </x:c>
      <x:c r="C48" s="13" t="str">
        <x:v>A3 Студенческие события</x:v>
      </x:c>
      <x:c r="D48" s="14" t="n">
        <x:v>1</x:v>
      </x:c>
      <x:c r="E48" s="13" t="str">
        <x:f>IF(D48="","",IF(AND(D48&gt;=1/9,D48&lt;=9),"ОК","Проверьте"))</x:f>
        <x:v>ОК</x:v>
      </x:c>
    </x:row>
    <x:row r="49">
      <x:c r="A49" s="13" t="str">
        <x:v>C2 Реализуемость</x:v>
      </x:c>
      <x:c r="B49" s="13" t="str">
        <x:v>A2 Учебные группы</x:v>
      </x:c>
      <x:c r="C49" s="13" t="str">
        <x:v>A4 Волонтёрские смены</x:v>
      </x:c>
      <x:c r="D49" s="14" t="n">
        <x:v>2</x:v>
      </x:c>
      <x:c r="E49" s="13" t="str">
        <x:f>IF(D49="","",IF(AND(D49&gt;=1/9,D49&lt;=9),"ОК","Проверьте"))</x:f>
        <x:v>ОК</x:v>
      </x:c>
    </x:row>
    <x:row r="50">
      <x:c r="A50" s="13" t="str">
        <x:v>C2 Реализуемость</x:v>
      </x:c>
      <x:c r="B50" s="13" t="str">
        <x:v>A3 Студенческие события</x:v>
      </x:c>
      <x:c r="C50" s="13" t="str">
        <x:v>A4 Волонтёрские смены</x:v>
      </x:c>
      <x:c r="D50" s="14" t="n">
        <x:v>1</x:v>
      </x:c>
      <x:c r="E50" s="13" t="str">
        <x:f>IF(D50="","",IF(AND(D50&gt;=1/9,D50&lt;=9),"ОК","Проверьте"))</x:f>
        <x:v>ОК</x:v>
      </x:c>
    </x:row>
    <x:row r="51">
      <x:c r="A51" s="13" t="str">
        <x:v>C3 Ясность сценариев</x:v>
      </x:c>
      <x:c r="B51" s="13" t="str">
        <x:v>A1 Бронирование помещений</x:v>
      </x:c>
      <x:c r="C51" s="13" t="str">
        <x:v>A2 Учебные группы</x:v>
      </x:c>
      <x:c r="D51" s="14" t="n">
        <x:v>3</x:v>
      </x:c>
      <x:c r="E51" s="13" t="str">
        <x:f>IF(D51="","",IF(AND(D51&gt;=1/9,D51&lt;=9),"ОК","Проверьте"))</x:f>
        <x:v>ОК</x:v>
      </x:c>
    </x:row>
    <x:row r="52">
      <x:c r="A52" s="13" t="str">
        <x:v>C3 Ясность сценариев</x:v>
      </x:c>
      <x:c r="B52" s="13" t="str">
        <x:v>A1 Бронирование помещений</x:v>
      </x:c>
      <x:c r="C52" s="13" t="str">
        <x:v>A3 Студенческие события</x:v>
      </x:c>
      <x:c r="D52" s="14" t="n">
        <x:v>1</x:v>
      </x:c>
      <x:c r="E52" s="13" t="str">
        <x:f>IF(D52="","",IF(AND(D52&gt;=1/9,D52&lt;=9),"ОК","Проверьте"))</x:f>
        <x:v>ОК</x:v>
      </x:c>
    </x:row>
    <x:row r="53">
      <x:c r="A53" s="13" t="str">
        <x:v>C3 Ясность сценариев</x:v>
      </x:c>
      <x:c r="B53" s="13" t="str">
        <x:v>A1 Бронирование помещений</x:v>
      </x:c>
      <x:c r="C53" s="13" t="str">
        <x:v>A4 Волонтёрские смены</x:v>
      </x:c>
      <x:c r="D53" s="14" t="n">
        <x:v>2</x:v>
      </x:c>
      <x:c r="E53" s="13" t="str">
        <x:f>IF(D53="","",IF(AND(D53&gt;=1/9,D53&lt;=9),"ОК","Проверьте"))</x:f>
        <x:v>ОК</x:v>
      </x:c>
    </x:row>
    <x:row r="54">
      <x:c r="A54" s="13" t="str">
        <x:v>C3 Ясность сценариев</x:v>
      </x:c>
      <x:c r="B54" s="13" t="str">
        <x:v>A2 Учебные группы</x:v>
      </x:c>
      <x:c r="C54" s="13" t="str">
        <x:v>A3 Студенческие события</x:v>
      </x:c>
      <x:c r="D54" s="14" t="n">
        <x:v>0.3333333333333333</x:v>
      </x:c>
      <x:c r="E54" s="13" t="str">
        <x:f>IF(D54="","",IF(AND(D54&gt;=1/9,D54&lt;=9),"ОК","Проверьте"))</x:f>
        <x:v>ОК</x:v>
      </x:c>
    </x:row>
    <x:row r="55">
      <x:c r="A55" s="13" t="str">
        <x:v>C3 Ясность сценариев</x:v>
      </x:c>
      <x:c r="B55" s="13" t="str">
        <x:v>A2 Учебные группы</x:v>
      </x:c>
      <x:c r="C55" s="13" t="str">
        <x:v>A4 Волонтёрские смены</x:v>
      </x:c>
      <x:c r="D55" s="14" t="n">
        <x:v>0.5</x:v>
      </x:c>
      <x:c r="E55" s="13" t="str">
        <x:f>IF(D55="","",IF(AND(D55&gt;=1/9,D55&lt;=9),"ОК","Проверьте"))</x:f>
        <x:v>ОК</x:v>
      </x:c>
    </x:row>
    <x:row r="56">
      <x:c r="A56" s="13" t="str">
        <x:v>C3 Ясность сценариев</x:v>
      </x:c>
      <x:c r="B56" s="13" t="str">
        <x:v>A3 Студенческие события</x:v>
      </x:c>
      <x:c r="C56" s="13" t="str">
        <x:v>A4 Волонтёрские смены</x:v>
      </x:c>
      <x:c r="D56" s="14" t="n">
        <x:v>2</x:v>
      </x:c>
      <x:c r="E56" s="13" t="str">
        <x:f>IF(D56="","",IF(AND(D56&gt;=1/9,D56&lt;=9),"ОК","Проверьте"))</x:f>
        <x:v>ОК</x:v>
      </x:c>
    </x:row>
    <x:row r="57">
      <x:c r="A57" s="13" t="str">
        <x:v>C4 Пригодность для планирования</x:v>
      </x:c>
      <x:c r="B57" s="13" t="str">
        <x:v>A1 Бронирование помещений</x:v>
      </x:c>
      <x:c r="C57" s="13" t="str">
        <x:v>A2 Учебные группы</x:v>
      </x:c>
      <x:c r="D57" s="14" t="n">
        <x:v>2</x:v>
      </x:c>
      <x:c r="E57" s="13" t="str">
        <x:f>IF(D57="","",IF(AND(D57&gt;=1/9,D57&lt;=9),"ОК","Проверьте"))</x:f>
        <x:v>ОК</x:v>
      </x:c>
    </x:row>
    <x:row r="58">
      <x:c r="A58" s="13" t="str">
        <x:v>C4 Пригодность для планирования</x:v>
      </x:c>
      <x:c r="B58" s="13" t="str">
        <x:v>A1 Бронирование помещений</x:v>
      </x:c>
      <x:c r="C58" s="13" t="str">
        <x:v>A3 Студенческие события</x:v>
      </x:c>
      <x:c r="D58" s="14" t="n">
        <x:v>1</x:v>
      </x:c>
      <x:c r="E58" s="13" t="str">
        <x:f>IF(D58="","",IF(AND(D58&gt;=1/9,D58&lt;=9),"ОК","Проверьте"))</x:f>
        <x:v>ОК</x:v>
      </x:c>
    </x:row>
    <x:row r="59">
      <x:c r="A59" s="13" t="str">
        <x:v>C4 Пригодность для планирования</x:v>
      </x:c>
      <x:c r="B59" s="13" t="str">
        <x:v>A1 Бронирование помещений</x:v>
      </x:c>
      <x:c r="C59" s="13" t="str">
        <x:v>A4 Волонтёрские смены</x:v>
      </x:c>
      <x:c r="D59" s="14" t="n">
        <x:v>0.5</x:v>
      </x:c>
      <x:c r="E59" s="13" t="str">
        <x:f>IF(D59="","",IF(AND(D59&gt;=1/9,D59&lt;=9),"ОК","Проверьте"))</x:f>
        <x:v>ОК</x:v>
      </x:c>
    </x:row>
    <x:row r="60">
      <x:c r="A60" s="13" t="str">
        <x:v>C4 Пригодность для планирования</x:v>
      </x:c>
      <x:c r="B60" s="13" t="str">
        <x:v>A2 Учебные группы</x:v>
      </x:c>
      <x:c r="C60" s="13" t="str">
        <x:v>A3 Студенческие события</x:v>
      </x:c>
      <x:c r="D60" s="14" t="n">
        <x:v>0.5</x:v>
      </x:c>
      <x:c r="E60" s="13" t="str">
        <x:f>IF(D60="","",IF(AND(D60&gt;=1/9,D60&lt;=9),"ОК","Проверьте"))</x:f>
        <x:v>ОК</x:v>
      </x:c>
    </x:row>
    <x:row r="61">
      <x:c r="A61" s="13" t="str">
        <x:v>C4 Пригодность для планирования</x:v>
      </x:c>
      <x:c r="B61" s="13" t="str">
        <x:v>A2 Учебные группы</x:v>
      </x:c>
      <x:c r="C61" s="13" t="str">
        <x:v>A4 Волонтёрские смены</x:v>
      </x:c>
      <x:c r="D61" s="14" t="n">
        <x:v>0.3333333333333333</x:v>
      </x:c>
      <x:c r="E61" s="13" t="str">
        <x:f>IF(D61="","",IF(AND(D61&gt;=1/9,D61&lt;=9),"ОК","Проверьте"))</x:f>
        <x:v>ОК</x:v>
      </x:c>
    </x:row>
    <x:row r="62">
      <x:c r="A62" s="13" t="str">
        <x:v>C4 Пригодность для планирования</x:v>
      </x:c>
      <x:c r="B62" s="13" t="str">
        <x:v>A3 Студенческие события</x:v>
      </x:c>
      <x:c r="C62" s="13" t="str">
        <x:v>A4 Волонтёрские смены</x:v>
      </x:c>
      <x:c r="D62" s="14" t="n">
        <x:v>1</x:v>
      </x:c>
      <x:c r="E62" s="13" t="str">
        <x:f>IF(D62="","",IF(AND(D62&gt;=1/9,D62&lt;=9),"ОК","Проверьте"))</x:f>
        <x:v>ОК</x:v>
      </x:c>
    </x:row>
  </x:sheetData>
  <x:mergeCells>
    <x:mergeCell ref="A1:G1"/>
    <x:mergeCell ref="A4:G4"/>
    <x:mergeCell ref="A5:G5"/>
    <x:mergeCell ref="A29:G29"/>
    <x:mergeCell ref="A30:G3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</x:cols>
  <x:sheetData>
    <x:row r="1">
      <x:c r="A1" s="10" t="str">
        <x:v>Оценки сценарного профиля M2</x:v>
      </x:c>
      <x:c r="B1" s="10"/>
      <x:c r="C1" s="10"/>
      <x:c r="D1" s="10"/>
      <x:c r="E1" s="10"/>
      <x:c r="F1" s="10"/>
      <x:c r="G1" s="10"/>
    </x:row>
    <x:row r="3">
      <x:c r="A3" t="str">
        <x:v>Сценарный профиль</x:v>
      </x:c>
      <x:c r="B3" t="str">
        <x:v>M2 — Акцент на полезности и простоте запуска</x:v>
      </x:c>
    </x:row>
    <x:row r="4">
      <x:c r="A4" t="str">
        <x:v>Сценарные исходные значения; индивидуальный опрос участников не проводился.</x:v>
      </x:c>
    </x:row>
    <x:row r="5">
      <x:c r="A5" s="6" t="str">
        <x:v>Нечёткий TOPSIS — три оценки по шкале 1–9</x:v>
      </x:c>
      <x:c r="B5" s="6"/>
      <x:c r="C5" s="6"/>
      <x:c r="D5" s="6"/>
      <x:c r="E5" s="6"/>
      <x:c r="F5" s="6"/>
      <x:c r="G5" s="6"/>
    </x:row>
    <x:row r="6">
      <x:c r="A6" s="12" t="str">
        <x:v>Тип</x:v>
      </x:c>
      <x:c r="B6" s="12" t="str">
        <x:v>Концепция</x:v>
      </x:c>
      <x:c r="C6" s="12" t="str">
        <x:v>Критерий</x:v>
      </x:c>
      <x:c r="D6" s="12" t="str">
        <x:v>Пессимистичная</x:v>
      </x:c>
      <x:c r="E6" s="12" t="str">
        <x:v>Ожидаемая</x:v>
      </x:c>
      <x:c r="F6" s="12" t="str">
        <x:v>Оптимистичная</x:v>
      </x:c>
      <x:c r="G6" s="12" t="str">
        <x:v>Проверка</x:v>
      </x:c>
    </x:row>
    <x:row r="7">
      <x:c r="A7" s="13" t="str">
        <x:v>Вес критерия</x:v>
      </x:c>
      <x:c r="B7" s="13" t="str">
        <x:v>—</x:v>
      </x:c>
      <x:c r="C7" s="13" t="str">
        <x:v>C1 Полезность</x:v>
      </x:c>
      <x:c r="D7" s="14" t="n">
        <x:v>8</x:v>
      </x:c>
      <x:c r="E7" s="14" t="n">
        <x:v>9</x:v>
      </x:c>
      <x:c r="F7" s="14" t="n">
        <x:v>9</x:v>
      </x:c>
      <x:c r="G7" s="13" t="str">
        <x:f>IF(COUNTA(D7:F7)=0,"",IF(AND(COUNT(D7:F7)=3,D7&gt;=1,F7&lt;=9,D7&lt;=E7,E7&lt;=F7),"ОК","Проверьте"))</x:f>
        <x:v>ОК</x:v>
      </x:c>
    </x:row>
    <x:row r="8">
      <x:c r="A8" s="13" t="str">
        <x:v>Вес критерия</x:v>
      </x:c>
      <x:c r="B8" s="13" t="str">
        <x:v>—</x:v>
      </x:c>
      <x:c r="C8" s="13" t="str">
        <x:v>C2 Реализуемость</x:v>
      </x:c>
      <x:c r="D8" s="14" t="n">
        <x:v>6</x:v>
      </x:c>
      <x:c r="E8" s="14" t="n">
        <x:v>7</x:v>
      </x:c>
      <x:c r="F8" s="14" t="n">
        <x:v>8</x:v>
      </x:c>
      <x:c r="G8" s="13" t="str">
        <x:f>IF(COUNTA(D8:F8)=0,"",IF(AND(COUNT(D8:F8)=3,D8&gt;=1,F8&lt;=9,D8&lt;=E8,E8&lt;=F8),"ОК","Проверьте"))</x:f>
        <x:v>ОК</x:v>
      </x:c>
    </x:row>
    <x:row r="9">
      <x:c r="A9" s="13" t="str">
        <x:v>Вес критерия</x:v>
      </x:c>
      <x:c r="B9" s="13" t="str">
        <x:v>—</x:v>
      </x:c>
      <x:c r="C9" s="13" t="str">
        <x:v>C3 Ясность сценариев</x:v>
      </x:c>
      <x:c r="D9" s="14" t="n">
        <x:v>6</x:v>
      </x:c>
      <x:c r="E9" s="14" t="n">
        <x:v>7</x:v>
      </x:c>
      <x:c r="F9" s="14" t="n">
        <x:v>8</x:v>
      </x:c>
      <x:c r="G9" s="13" t="str">
        <x:f>IF(COUNTA(D9:F9)=0,"",IF(AND(COUNT(D9:F9)=3,D9&gt;=1,F9&lt;=9,D9&lt;=E9,E9&lt;=F9),"ОК","Проверьте"))</x:f>
        <x:v>ОК</x:v>
      </x:c>
    </x:row>
    <x:row r="10">
      <x:c r="A10" s="13" t="str">
        <x:v>Вес критерия</x:v>
      </x:c>
      <x:c r="B10" s="13" t="str">
        <x:v>—</x:v>
      </x:c>
      <x:c r="C10" s="13" t="str">
        <x:v>C4 Пригодность для планирования</x:v>
      </x:c>
      <x:c r="D10" s="14" t="n">
        <x:v>5</x:v>
      </x:c>
      <x:c r="E10" s="14" t="n">
        <x:v>6</x:v>
      </x:c>
      <x:c r="F10" s="14" t="n">
        <x:v>7</x:v>
      </x:c>
      <x:c r="G10" s="13" t="str">
        <x:f>IF(COUNTA(D10:F10)=0,"",IF(AND(COUNT(D10:F10)=3,D10&gt;=1,F10&lt;=9,D10&lt;=E10,E10&lt;=F10),"ОК","Проверьте"))</x:f>
        <x:v>ОК</x:v>
      </x:c>
    </x:row>
    <x:row r="11">
      <x:c r="A11" s="13" t="str">
        <x:v>Оценка концепции</x:v>
      </x:c>
      <x:c r="B11" s="13" t="str">
        <x:v>A1 Бронирование помещений</x:v>
      </x:c>
      <x:c r="C11" s="13" t="str">
        <x:v>C1 Полезность</x:v>
      </x:c>
      <x:c r="D11" s="14" t="n">
        <x:v>5</x:v>
      </x:c>
      <x:c r="E11" s="14" t="n">
        <x:v>6</x:v>
      </x:c>
      <x:c r="F11" s="14" t="n">
        <x:v>7</x:v>
      </x:c>
      <x:c r="G11" s="13" t="str">
        <x:f>IF(COUNTA(D11:F11)=0,"",IF(AND(COUNT(D11:F11)=3,D11&gt;=1,F11&lt;=9,D11&lt;=E11,E11&lt;=F11),"ОК","Проверьте"))</x:f>
        <x:v>ОК</x:v>
      </x:c>
    </x:row>
    <x:row r="12">
      <x:c r="A12" s="13" t="str">
        <x:v>Оценка концепции</x:v>
      </x:c>
      <x:c r="B12" s="13" t="str">
        <x:v>A1 Бронирование помещений</x:v>
      </x:c>
      <x:c r="C12" s="13" t="str">
        <x:v>C2 Реализуемость</x:v>
      </x:c>
      <x:c r="D12" s="14" t="n">
        <x:v>5</x:v>
      </x:c>
      <x:c r="E12" s="14" t="n">
        <x:v>6</x:v>
      </x:c>
      <x:c r="F12" s="14" t="n">
        <x:v>7</x:v>
      </x:c>
      <x:c r="G12" s="13" t="str">
        <x:f>IF(COUNTA(D12:F12)=0,"",IF(AND(COUNT(D12:F12)=3,D12&gt;=1,F12&lt;=9,D12&lt;=E12,E12&lt;=F12),"ОК","Проверьте"))</x:f>
        <x:v>ОК</x:v>
      </x:c>
    </x:row>
    <x:row r="13">
      <x:c r="A13" s="13" t="str">
        <x:v>Оценка концепции</x:v>
      </x:c>
      <x:c r="B13" s="13" t="str">
        <x:v>A1 Бронирование помещений</x:v>
      </x:c>
      <x:c r="C13" s="13" t="str">
        <x:v>C3 Ясность сценариев</x:v>
      </x:c>
      <x:c r="D13" s="14" t="n">
        <x:v>7</x:v>
      </x:c>
      <x:c r="E13" s="14" t="n">
        <x:v>8</x:v>
      </x:c>
      <x:c r="F13" s="14" t="n">
        <x:v>9</x:v>
      </x:c>
      <x:c r="G13" s="13" t="str">
        <x:f>IF(COUNTA(D13:F13)=0,"",IF(AND(COUNT(D13:F13)=3,D13&gt;=1,F13&lt;=9,D13&lt;=E13,E13&lt;=F13),"ОК","Проверьте"))</x:f>
        <x:v>ОК</x:v>
      </x:c>
    </x:row>
    <x:row r="14">
      <x:c r="A14" s="13" t="str">
        <x:v>Оценка концепции</x:v>
      </x:c>
      <x:c r="B14" s="13" t="str">
        <x:v>A1 Бронирование помещений</x:v>
      </x:c>
      <x:c r="C14" s="13" t="str">
        <x:v>C4 Пригодность для планирования</x:v>
      </x:c>
      <x:c r="D14" s="14" t="n">
        <x:v>6</x:v>
      </x:c>
      <x:c r="E14" s="14" t="n">
        <x:v>7</x:v>
      </x:c>
      <x:c r="F14" s="14" t="n">
        <x:v>8</x:v>
      </x:c>
      <x:c r="G14" s="13" t="str">
        <x:f>IF(COUNTA(D14:F14)=0,"",IF(AND(COUNT(D14:F14)=3,D14&gt;=1,F14&lt;=9,D14&lt;=E14,E14&lt;=F14),"ОК","Проверьте"))</x:f>
        <x:v>ОК</x:v>
      </x:c>
    </x:row>
    <x:row r="15">
      <x:c r="A15" s="13" t="str">
        <x:v>Оценка концепции</x:v>
      </x:c>
      <x:c r="B15" s="13" t="str">
        <x:v>A2 Учебные группы</x:v>
      </x:c>
      <x:c r="C15" s="13" t="str">
        <x:v>C1 Полезность</x:v>
      </x:c>
      <x:c r="D15" s="14" t="n">
        <x:v>7</x:v>
      </x:c>
      <x:c r="E15" s="14" t="n">
        <x:v>8</x:v>
      </x:c>
      <x:c r="F15" s="14" t="n">
        <x:v>9</x:v>
      </x:c>
      <x:c r="G15" s="13" t="str">
        <x:f>IF(COUNTA(D15:F15)=0,"",IF(AND(COUNT(D15:F15)=3,D15&gt;=1,F15&lt;=9,D15&lt;=E15,E15&lt;=F15),"ОК","Проверьте"))</x:f>
        <x:v>ОК</x:v>
      </x:c>
    </x:row>
    <x:row r="16">
      <x:c r="A16" s="13" t="str">
        <x:v>Оценка концепции</x:v>
      </x:c>
      <x:c r="B16" s="13" t="str">
        <x:v>A2 Учебные группы</x:v>
      </x:c>
      <x:c r="C16" s="13" t="str">
        <x:v>C2 Реализуемость</x:v>
      </x:c>
      <x:c r="D16" s="14" t="n">
        <x:v>7</x:v>
      </x:c>
      <x:c r="E16" s="14" t="n">
        <x:v>8</x:v>
      </x:c>
      <x:c r="F16" s="14" t="n">
        <x:v>9</x:v>
      </x:c>
      <x:c r="G16" s="13" t="str">
        <x:f>IF(COUNTA(D16:F16)=0,"",IF(AND(COUNT(D16:F16)=3,D16&gt;=1,F16&lt;=9,D16&lt;=E16,E16&lt;=F16),"ОК","Проверьте"))</x:f>
        <x:v>ОК</x:v>
      </x:c>
    </x:row>
    <x:row r="17">
      <x:c r="A17" s="13" t="str">
        <x:v>Оценка концепции</x:v>
      </x:c>
      <x:c r="B17" s="13" t="str">
        <x:v>A2 Учебные группы</x:v>
      </x:c>
      <x:c r="C17" s="13" t="str">
        <x:v>C3 Ясность сценариев</x:v>
      </x:c>
      <x:c r="D17" s="14" t="n">
        <x:v>5</x:v>
      </x:c>
      <x:c r="E17" s="14" t="n">
        <x:v>6</x:v>
      </x:c>
      <x:c r="F17" s="14" t="n">
        <x:v>7</x:v>
      </x:c>
      <x:c r="G17" s="13" t="str">
        <x:f>IF(COUNTA(D17:F17)=0,"",IF(AND(COUNT(D17:F17)=3,D17&gt;=1,F17&lt;=9,D17&lt;=E17,E17&lt;=F17),"ОК","Проверьте"))</x:f>
        <x:v>ОК</x:v>
      </x:c>
    </x:row>
    <x:row r="18">
      <x:c r="A18" s="13" t="str">
        <x:v>Оценка концепции</x:v>
      </x:c>
      <x:c r="B18" s="13" t="str">
        <x:v>A2 Учебные группы</x:v>
      </x:c>
      <x:c r="C18" s="13" t="str">
        <x:v>C4 Пригодность для планирования</x:v>
      </x:c>
      <x:c r="D18" s="14" t="n">
        <x:v>5</x:v>
      </x:c>
      <x:c r="E18" s="14" t="n">
        <x:v>6</x:v>
      </x:c>
      <x:c r="F18" s="14" t="n">
        <x:v>7</x:v>
      </x:c>
      <x:c r="G18" s="13" t="str">
        <x:f>IF(COUNTA(D18:F18)=0,"",IF(AND(COUNT(D18:F18)=3,D18&gt;=1,F18&lt;=9,D18&lt;=E18,E18&lt;=F18),"ОК","Проверьте"))</x:f>
        <x:v>ОК</x:v>
      </x:c>
    </x:row>
    <x:row r="19">
      <x:c r="A19" s="13" t="str">
        <x:v>Оценка концепции</x:v>
      </x:c>
      <x:c r="B19" s="13" t="str">
        <x:v>A3 Студенческие события</x:v>
      </x:c>
      <x:c r="C19" s="13" t="str">
        <x:v>C1 Полезность</x:v>
      </x:c>
      <x:c r="D19" s="14" t="n">
        <x:v>8</x:v>
      </x:c>
      <x:c r="E19" s="14" t="n">
        <x:v>9</x:v>
      </x:c>
      <x:c r="F19" s="14" t="n">
        <x:v>9</x:v>
      </x:c>
      <x:c r="G19" s="13" t="str">
        <x:f>IF(COUNTA(D19:F19)=0,"",IF(AND(COUNT(D19:F19)=3,D19&gt;=1,F19&lt;=9,D19&lt;=E19,E19&lt;=F19),"ОК","Проверьте"))</x:f>
        <x:v>ОК</x:v>
      </x:c>
    </x:row>
    <x:row r="20">
      <x:c r="A20" s="13" t="str">
        <x:v>Оценка концепции</x:v>
      </x:c>
      <x:c r="B20" s="13" t="str">
        <x:v>A3 Студенческие события</x:v>
      </x:c>
      <x:c r="C20" s="13" t="str">
        <x:v>C2 Реализуемость</x:v>
      </x:c>
      <x:c r="D20" s="14" t="n">
        <x:v>6</x:v>
      </x:c>
      <x:c r="E20" s="14" t="n">
        <x:v>7</x:v>
      </x:c>
      <x:c r="F20" s="14" t="n">
        <x:v>8</x:v>
      </x:c>
      <x:c r="G20" s="13" t="str">
        <x:f>IF(COUNTA(D20:F20)=0,"",IF(AND(COUNT(D20:F20)=3,D20&gt;=1,F20&lt;=9,D20&lt;=E20,E20&lt;=F20),"ОК","Проверьте"))</x:f>
        <x:v>ОК</x:v>
      </x:c>
    </x:row>
    <x:row r="21">
      <x:c r="A21" s="13" t="str">
        <x:v>Оценка концепции</x:v>
      </x:c>
      <x:c r="B21" s="13" t="str">
        <x:v>A3 Студенческие события</x:v>
      </x:c>
      <x:c r="C21" s="13" t="str">
        <x:v>C3 Ясность сценариев</x:v>
      </x:c>
      <x:c r="D21" s="14" t="n">
        <x:v>7</x:v>
      </x:c>
      <x:c r="E21" s="14" t="n">
        <x:v>8</x:v>
      </x:c>
      <x:c r="F21" s="14" t="n">
        <x:v>9</x:v>
      </x:c>
      <x:c r="G21" s="13" t="str">
        <x:f>IF(COUNTA(D21:F21)=0,"",IF(AND(COUNT(D21:F21)=3,D21&gt;=1,F21&lt;=9,D21&lt;=E21,E21&lt;=F21),"ОК","Проверьте"))</x:f>
        <x:v>ОК</x:v>
      </x:c>
    </x:row>
    <x:row r="22">
      <x:c r="A22" s="13" t="str">
        <x:v>Оценка концепции</x:v>
      </x:c>
      <x:c r="B22" s="13" t="str">
        <x:v>A3 Студенческие события</x:v>
      </x:c>
      <x:c r="C22" s="13" t="str">
        <x:v>C4 Пригодность для планирования</x:v>
      </x:c>
      <x:c r="D22" s="14" t="n">
        <x:v>7</x:v>
      </x:c>
      <x:c r="E22" s="14" t="n">
        <x:v>8</x:v>
      </x:c>
      <x:c r="F22" s="14" t="n">
        <x:v>9</x:v>
      </x:c>
      <x:c r="G22" s="13" t="str">
        <x:f>IF(COUNTA(D22:F22)=0,"",IF(AND(COUNT(D22:F22)=3,D22&gt;=1,F22&lt;=9,D22&lt;=E22,E22&lt;=F22),"ОК","Проверьте"))</x:f>
        <x:v>ОК</x:v>
      </x:c>
    </x:row>
    <x:row r="23">
      <x:c r="A23" s="13" t="str">
        <x:v>Оценка концепции</x:v>
      </x:c>
      <x:c r="B23" s="13" t="str">
        <x:v>A4 Волонтёрские смены</x:v>
      </x:c>
      <x:c r="C23" s="13" t="str">
        <x:v>C1 Полезность</x:v>
      </x:c>
      <x:c r="D23" s="14" t="n">
        <x:v>7</x:v>
      </x:c>
      <x:c r="E23" s="14" t="n">
        <x:v>8</x:v>
      </x:c>
      <x:c r="F23" s="14" t="n">
        <x:v>9</x:v>
      </x:c>
      <x:c r="G23" s="13" t="str">
        <x:f>IF(COUNTA(D23:F23)=0,"",IF(AND(COUNT(D23:F23)=3,D23&gt;=1,F23&lt;=9,D23&lt;=E23,E23&lt;=F23),"ОК","Проверьте"))</x:f>
        <x:v>ОК</x:v>
      </x:c>
    </x:row>
    <x:row r="24">
      <x:c r="A24" s="13" t="str">
        <x:v>Оценка концепции</x:v>
      </x:c>
      <x:c r="B24" s="13" t="str">
        <x:v>A4 Волонтёрские смены</x:v>
      </x:c>
      <x:c r="C24" s="13" t="str">
        <x:v>C2 Реализуемость</x:v>
      </x:c>
      <x:c r="D24" s="14" t="n">
        <x:v>5</x:v>
      </x:c>
      <x:c r="E24" s="14" t="n">
        <x:v>6</x:v>
      </x:c>
      <x:c r="F24" s="14" t="n">
        <x:v>7</x:v>
      </x:c>
      <x:c r="G24" s="13" t="str">
        <x:f>IF(COUNTA(D24:F24)=0,"",IF(AND(COUNT(D24:F24)=3,D24&gt;=1,F24&lt;=9,D24&lt;=E24,E24&lt;=F24),"ОК","Проверьте"))</x:f>
        <x:v>ОК</x:v>
      </x:c>
    </x:row>
    <x:row r="25">
      <x:c r="A25" s="13" t="str">
        <x:v>Оценка концепции</x:v>
      </x:c>
      <x:c r="B25" s="13" t="str">
        <x:v>A4 Волонтёрские смены</x:v>
      </x:c>
      <x:c r="C25" s="13" t="str">
        <x:v>C3 Ясность сценариев</x:v>
      </x:c>
      <x:c r="D25" s="14" t="n">
        <x:v>6</x:v>
      </x:c>
      <x:c r="E25" s="14" t="n">
        <x:v>7</x:v>
      </x:c>
      <x:c r="F25" s="14" t="n">
        <x:v>8</x:v>
      </x:c>
      <x:c r="G25" s="13" t="str">
        <x:f>IF(COUNTA(D25:F25)=0,"",IF(AND(COUNT(D25:F25)=3,D25&gt;=1,F25&lt;=9,D25&lt;=E25,E25&lt;=F25),"ОК","Проверьте"))</x:f>
        <x:v>ОК</x:v>
      </x:c>
    </x:row>
    <x:row r="26">
      <x:c r="A26" s="13" t="str">
        <x:v>Оценка концепции</x:v>
      </x:c>
      <x:c r="B26" s="13" t="str">
        <x:v>A4 Волонтёрские смены</x:v>
      </x:c>
      <x:c r="C26" s="13" t="str">
        <x:v>C4 Пригодность для планирования</x:v>
      </x:c>
      <x:c r="D26" s="14" t="n">
        <x:v>7</x:v>
      </x:c>
      <x:c r="E26" s="14" t="n">
        <x:v>8</x:v>
      </x:c>
      <x:c r="F26" s="14" t="n">
        <x:v>9</x:v>
      </x:c>
      <x:c r="G26" s="13" t="str">
        <x:f>IF(COUNTA(D26:F26)=0,"",IF(AND(COUNT(D26:F26)=3,D26&gt;=1,F26&lt;=9,D26&lt;=E26,E26&lt;=F26),"ОК","Проверьте"))</x:f>
        <x:v>ОК</x:v>
      </x:c>
    </x:row>
    <x:row r="29">
      <x:c r="A29" s="6" t="str">
        <x:v>Чёткий МАИ — парные сравнения</x:v>
      </x:c>
      <x:c r="B29" s="6"/>
      <x:c r="C29" s="6"/>
      <x:c r="D29" s="6"/>
      <x:c r="E29" s="6"/>
      <x:c r="F29" s="6"/>
      <x:c r="G29" s="6"/>
    </x:row>
    <x:row r="30">
      <x:c r="A30" t="str">
        <x:v>Столбец D: предпочтение первого элемента относительно второго, от 1/9 до 9.</x:v>
      </x:c>
    </x:row>
    <x:row r="32">
      <x:c r="A32" s="12" t="str">
        <x:v>Матрица</x:v>
      </x:c>
      <x:c r="B32" s="12" t="str">
        <x:v>Первый элемент</x:v>
      </x:c>
      <x:c r="C32" s="12" t="str">
        <x:v>Второй элемент</x:v>
      </x:c>
      <x:c r="D32" s="12" t="str">
        <x:v>Оценка</x:v>
      </x:c>
      <x:c r="E32" s="13" t="str">
        <x:v>Проверка</x:v>
      </x:c>
    </x:row>
    <x:row r="33">
      <x:c r="A33" s="13" t="str">
        <x:v>Критерии</x:v>
      </x:c>
      <x:c r="B33" s="13" t="str">
        <x:v>C1 Полезность</x:v>
      </x:c>
      <x:c r="C33" s="13" t="str">
        <x:v>C2 Реализуемость</x:v>
      </x:c>
      <x:c r="D33" s="14" t="n">
        <x:v>2</x:v>
      </x:c>
      <x:c r="E33" s="13" t="str">
        <x:f>IF(D33="","",IF(AND(D33&gt;=1/9,D33&lt;=9),"ОК","Проверьте"))</x:f>
        <x:v>ОК</x:v>
      </x:c>
    </x:row>
    <x:row r="34">
      <x:c r="A34" s="13" t="str">
        <x:v>Критерии</x:v>
      </x:c>
      <x:c r="B34" s="13" t="str">
        <x:v>C1 Полезность</x:v>
      </x:c>
      <x:c r="C34" s="13" t="str">
        <x:v>C3 Ясность сценариев</x:v>
      </x:c>
      <x:c r="D34" s="14" t="n">
        <x:v>3</x:v>
      </x:c>
      <x:c r="E34" s="13" t="str">
        <x:f>IF(D34="","",IF(AND(D34&gt;=1/9,D34&lt;=9),"ОК","Проверьте"))</x:f>
        <x:v>ОК</x:v>
      </x:c>
    </x:row>
    <x:row r="35">
      <x:c r="A35" s="13" t="str">
        <x:v>Критерии</x:v>
      </x:c>
      <x:c r="B35" s="13" t="str">
        <x:v>C1 Полезность</x:v>
      </x:c>
      <x:c r="C35" s="13" t="str">
        <x:v>C4 Пригодность для планирования</x:v>
      </x:c>
      <x:c r="D35" s="14" t="n">
        <x:v>2</x:v>
      </x:c>
      <x:c r="E35" s="13" t="str">
        <x:f>IF(D35="","",IF(AND(D35&gt;=1/9,D35&lt;=9),"ОК","Проверьте"))</x:f>
        <x:v>ОК</x:v>
      </x:c>
    </x:row>
    <x:row r="36">
      <x:c r="A36" s="13" t="str">
        <x:v>Критерии</x:v>
      </x:c>
      <x:c r="B36" s="13" t="str">
        <x:v>C2 Реализуемость</x:v>
      </x:c>
      <x:c r="C36" s="13" t="str">
        <x:v>C3 Ясность сценариев</x:v>
      </x:c>
      <x:c r="D36" s="14" t="n">
        <x:v>2</x:v>
      </x:c>
      <x:c r="E36" s="13" t="str">
        <x:f>IF(D36="","",IF(AND(D36&gt;=1/9,D36&lt;=9),"ОК","Проверьте"))</x:f>
        <x:v>ОК</x:v>
      </x:c>
    </x:row>
    <x:row r="37">
      <x:c r="A37" s="13" t="str">
        <x:v>Критерии</x:v>
      </x:c>
      <x:c r="B37" s="13" t="str">
        <x:v>C2 Реализуемость</x:v>
      </x:c>
      <x:c r="C37" s="13" t="str">
        <x:v>C4 Пригодность для планирования</x:v>
      </x:c>
      <x:c r="D37" s="14" t="n">
        <x:v>1</x:v>
      </x:c>
      <x:c r="E37" s="13" t="str">
        <x:f>IF(D37="","",IF(AND(D37&gt;=1/9,D37&lt;=9),"ОК","Проверьте"))</x:f>
        <x:v>ОК</x:v>
      </x:c>
    </x:row>
    <x:row r="38">
      <x:c r="A38" s="13" t="str">
        <x:v>Критерии</x:v>
      </x:c>
      <x:c r="B38" s="13" t="str">
        <x:v>C3 Ясность сценариев</x:v>
      </x:c>
      <x:c r="C38" s="13" t="str">
        <x:v>C4 Пригодность для планирования</x:v>
      </x:c>
      <x:c r="D38" s="14" t="n">
        <x:v>0.5</x:v>
      </x:c>
      <x:c r="E38" s="13" t="str">
        <x:f>IF(D38="","",IF(AND(D38&gt;=1/9,D38&lt;=9),"ОК","Проверьте"))</x:f>
        <x:v>ОК</x:v>
      </x:c>
    </x:row>
    <x:row r="39">
      <x:c r="A39" s="13" t="str">
        <x:v>C1 Полезность</x:v>
      </x:c>
      <x:c r="B39" s="13" t="str">
        <x:v>A1 Бронирование помещений</x:v>
      </x:c>
      <x:c r="C39" s="13" t="str">
        <x:v>A2 Учебные группы</x:v>
      </x:c>
      <x:c r="D39" s="14" t="n">
        <x:v>0.5</x:v>
      </x:c>
      <x:c r="E39" s="13" t="str">
        <x:f>IF(D39="","",IF(AND(D39&gt;=1/9,D39&lt;=9),"ОК","Проверьте"))</x:f>
        <x:v>ОК</x:v>
      </x:c>
    </x:row>
    <x:row r="40">
      <x:c r="A40" s="13" t="str">
        <x:v>C1 Полезность</x:v>
      </x:c>
      <x:c r="B40" s="13" t="str">
        <x:v>A1 Бронирование помещений</x:v>
      </x:c>
      <x:c r="C40" s="13" t="str">
        <x:v>A3 Студенческие события</x:v>
      </x:c>
      <x:c r="D40" s="14" t="n">
        <x:v>0.3333333333333333</x:v>
      </x:c>
      <x:c r="E40" s="13" t="str">
        <x:f>IF(D40="","",IF(AND(D40&gt;=1/9,D40&lt;=9),"ОК","Проверьте"))</x:f>
        <x:v>ОК</x:v>
      </x:c>
    </x:row>
    <x:row r="41">
      <x:c r="A41" s="13" t="str">
        <x:v>C1 Полезность</x:v>
      </x:c>
      <x:c r="B41" s="13" t="str">
        <x:v>A1 Бронирование помещений</x:v>
      </x:c>
      <x:c r="C41" s="13" t="str">
        <x:v>A4 Волонтёрские смены</x:v>
      </x:c>
      <x:c r="D41" s="14" t="n">
        <x:v>0.5</x:v>
      </x:c>
      <x:c r="E41" s="13" t="str">
        <x:f>IF(D41="","",IF(AND(D41&gt;=1/9,D41&lt;=9),"ОК","Проверьте"))</x:f>
        <x:v>ОК</x:v>
      </x:c>
    </x:row>
    <x:row r="42">
      <x:c r="A42" s="13" t="str">
        <x:v>C1 Полезность</x:v>
      </x:c>
      <x:c r="B42" s="13" t="str">
        <x:v>A2 Учебные группы</x:v>
      </x:c>
      <x:c r="C42" s="13" t="str">
        <x:v>A3 Студенческие события</x:v>
      </x:c>
      <x:c r="D42" s="14" t="n">
        <x:v>0.5</x:v>
      </x:c>
      <x:c r="E42" s="13" t="str">
        <x:f>IF(D42="","",IF(AND(D42&gt;=1/9,D42&lt;=9),"ОК","Проверьте"))</x:f>
        <x:v>ОК</x:v>
      </x:c>
    </x:row>
    <x:row r="43">
      <x:c r="A43" s="13" t="str">
        <x:v>C1 Полезность</x:v>
      </x:c>
      <x:c r="B43" s="13" t="str">
        <x:v>A2 Учебные группы</x:v>
      </x:c>
      <x:c r="C43" s="13" t="str">
        <x:v>A4 Волонтёрские смены</x:v>
      </x:c>
      <x:c r="D43" s="14" t="n">
        <x:v>1</x:v>
      </x:c>
      <x:c r="E43" s="13" t="str">
        <x:f>IF(D43="","",IF(AND(D43&gt;=1/9,D43&lt;=9),"ОК","Проверьте"))</x:f>
        <x:v>ОК</x:v>
      </x:c>
    </x:row>
    <x:row r="44">
      <x:c r="A44" s="13" t="str">
        <x:v>C1 Полезность</x:v>
      </x:c>
      <x:c r="B44" s="13" t="str">
        <x:v>A3 Студенческие события</x:v>
      </x:c>
      <x:c r="C44" s="13" t="str">
        <x:v>A4 Волонтёрские смены</x:v>
      </x:c>
      <x:c r="D44" s="14" t="n">
        <x:v>1</x:v>
      </x:c>
      <x:c r="E44" s="13" t="str">
        <x:f>IF(D44="","",IF(AND(D44&gt;=1/9,D44&lt;=9),"ОК","Проверьте"))</x:f>
        <x:v>ОК</x:v>
      </x:c>
    </x:row>
    <x:row r="45">
      <x:c r="A45" s="13" t="str">
        <x:v>C2 Реализуемость</x:v>
      </x:c>
      <x:c r="B45" s="13" t="str">
        <x:v>A1 Бронирование помещений</x:v>
      </x:c>
      <x:c r="C45" s="13" t="str">
        <x:v>A2 Учебные группы</x:v>
      </x:c>
      <x:c r="D45" s="14" t="n">
        <x:v>0.5</x:v>
      </x:c>
      <x:c r="E45" s="13" t="str">
        <x:f>IF(D45="","",IF(AND(D45&gt;=1/9,D45&lt;=9),"ОК","Проверьте"))</x:f>
        <x:v>ОК</x:v>
      </x:c>
    </x:row>
    <x:row r="46">
      <x:c r="A46" s="13" t="str">
        <x:v>C2 Реализуемость</x:v>
      </x:c>
      <x:c r="B46" s="13" t="str">
        <x:v>A1 Бронирование помещений</x:v>
      </x:c>
      <x:c r="C46" s="13" t="str">
        <x:v>A3 Студенческие события</x:v>
      </x:c>
      <x:c r="D46" s="14" t="n">
        <x:v>1</x:v>
      </x:c>
      <x:c r="E46" s="13" t="str">
        <x:f>IF(D46="","",IF(AND(D46&gt;=1/9,D46&lt;=9),"ОК","Проверьте"))</x:f>
        <x:v>ОК</x:v>
      </x:c>
    </x:row>
    <x:row r="47">
      <x:c r="A47" s="13" t="str">
        <x:v>C2 Реализуемость</x:v>
      </x:c>
      <x:c r="B47" s="13" t="str">
        <x:v>A1 Бронирование помещений</x:v>
      </x:c>
      <x:c r="C47" s="13" t="str">
        <x:v>A4 Волонтёрские смены</x:v>
      </x:c>
      <x:c r="D47" s="14" t="n">
        <x:v>1</x:v>
      </x:c>
      <x:c r="E47" s="13" t="str">
        <x:f>IF(D47="","",IF(AND(D47&gt;=1/9,D47&lt;=9),"ОК","Проверьте"))</x:f>
        <x:v>ОК</x:v>
      </x:c>
    </x:row>
    <x:row r="48">
      <x:c r="A48" s="13" t="str">
        <x:v>C2 Реализуемость</x:v>
      </x:c>
      <x:c r="B48" s="13" t="str">
        <x:v>A2 Учебные группы</x:v>
      </x:c>
      <x:c r="C48" s="13" t="str">
        <x:v>A3 Студенческие события</x:v>
      </x:c>
      <x:c r="D48" s="14" t="n">
        <x:v>1</x:v>
      </x:c>
      <x:c r="E48" s="13" t="str">
        <x:f>IF(D48="","",IF(AND(D48&gt;=1/9,D48&lt;=9),"ОК","Проверьте"))</x:f>
        <x:v>ОК</x:v>
      </x:c>
    </x:row>
    <x:row r="49">
      <x:c r="A49" s="13" t="str">
        <x:v>C2 Реализуемость</x:v>
      </x:c>
      <x:c r="B49" s="13" t="str">
        <x:v>A2 Учебные группы</x:v>
      </x:c>
      <x:c r="C49" s="13" t="str">
        <x:v>A4 Волонтёрские смены</x:v>
      </x:c>
      <x:c r="D49" s="14" t="n">
        <x:v>2</x:v>
      </x:c>
      <x:c r="E49" s="13" t="str">
        <x:f>IF(D49="","",IF(AND(D49&gt;=1/9,D49&lt;=9),"ОК","Проверьте"))</x:f>
        <x:v>ОК</x:v>
      </x:c>
    </x:row>
    <x:row r="50">
      <x:c r="A50" s="13" t="str">
        <x:v>C2 Реализуемость</x:v>
      </x:c>
      <x:c r="B50" s="13" t="str">
        <x:v>A3 Студенческие события</x:v>
      </x:c>
      <x:c r="C50" s="13" t="str">
        <x:v>A4 Волонтёрские смены</x:v>
      </x:c>
      <x:c r="D50" s="14" t="n">
        <x:v>1</x:v>
      </x:c>
      <x:c r="E50" s="13" t="str">
        <x:f>IF(D50="","",IF(AND(D50&gt;=1/9,D50&lt;=9),"ОК","Проверьте"))</x:f>
        <x:v>ОК</x:v>
      </x:c>
    </x:row>
    <x:row r="51">
      <x:c r="A51" s="13" t="str">
        <x:v>C3 Ясность сценариев</x:v>
      </x:c>
      <x:c r="B51" s="13" t="str">
        <x:v>A1 Бронирование помещений</x:v>
      </x:c>
      <x:c r="C51" s="13" t="str">
        <x:v>A2 Учебные группы</x:v>
      </x:c>
      <x:c r="D51" s="14" t="n">
        <x:v>2</x:v>
      </x:c>
      <x:c r="E51" s="13" t="str">
        <x:f>IF(D51="","",IF(AND(D51&gt;=1/9,D51&lt;=9),"ОК","Проверьте"))</x:f>
        <x:v>ОК</x:v>
      </x:c>
    </x:row>
    <x:row r="52">
      <x:c r="A52" s="13" t="str">
        <x:v>C3 Ясность сценариев</x:v>
      </x:c>
      <x:c r="B52" s="13" t="str">
        <x:v>A1 Бронирование помещений</x:v>
      </x:c>
      <x:c r="C52" s="13" t="str">
        <x:v>A3 Студенческие события</x:v>
      </x:c>
      <x:c r="D52" s="14" t="n">
        <x:v>1</x:v>
      </x:c>
      <x:c r="E52" s="13" t="str">
        <x:f>IF(D52="","",IF(AND(D52&gt;=1/9,D52&lt;=9),"ОК","Проверьте"))</x:f>
        <x:v>ОК</x:v>
      </x:c>
    </x:row>
    <x:row r="53">
      <x:c r="A53" s="13" t="str">
        <x:v>C3 Ясность сценариев</x:v>
      </x:c>
      <x:c r="B53" s="13" t="str">
        <x:v>A1 Бронирование помещений</x:v>
      </x:c>
      <x:c r="C53" s="13" t="str">
        <x:v>A4 Волонтёрские смены</x:v>
      </x:c>
      <x:c r="D53" s="14" t="n">
        <x:v>1</x:v>
      </x:c>
      <x:c r="E53" s="13" t="str">
        <x:f>IF(D53="","",IF(AND(D53&gt;=1/9,D53&lt;=9),"ОК","Проверьте"))</x:f>
        <x:v>ОК</x:v>
      </x:c>
    </x:row>
    <x:row r="54">
      <x:c r="A54" s="13" t="str">
        <x:v>C3 Ясность сценариев</x:v>
      </x:c>
      <x:c r="B54" s="13" t="str">
        <x:v>A2 Учебные группы</x:v>
      </x:c>
      <x:c r="C54" s="13" t="str">
        <x:v>A3 Студенческие события</x:v>
      </x:c>
      <x:c r="D54" s="14" t="n">
        <x:v>0.3333333333333333</x:v>
      </x:c>
      <x:c r="E54" s="13" t="str">
        <x:f>IF(D54="","",IF(AND(D54&gt;=1/9,D54&lt;=9),"ОК","Проверьте"))</x:f>
        <x:v>ОК</x:v>
      </x:c>
    </x:row>
    <x:row r="55">
      <x:c r="A55" s="13" t="str">
        <x:v>C3 Ясность сценариев</x:v>
      </x:c>
      <x:c r="B55" s="13" t="str">
        <x:v>A2 Учебные группы</x:v>
      </x:c>
      <x:c r="C55" s="13" t="str">
        <x:v>A4 Волонтёрские смены</x:v>
      </x:c>
      <x:c r="D55" s="14" t="n">
        <x:v>0.5</x:v>
      </x:c>
      <x:c r="E55" s="13" t="str">
        <x:f>IF(D55="","",IF(AND(D55&gt;=1/9,D55&lt;=9),"ОК","Проверьте"))</x:f>
        <x:v>ОК</x:v>
      </x:c>
    </x:row>
    <x:row r="56">
      <x:c r="A56" s="13" t="str">
        <x:v>C3 Ясность сценариев</x:v>
      </x:c>
      <x:c r="B56" s="13" t="str">
        <x:v>A3 Студенческие события</x:v>
      </x:c>
      <x:c r="C56" s="13" t="str">
        <x:v>A4 Волонтёрские смены</x:v>
      </x:c>
      <x:c r="D56" s="14" t="n">
        <x:v>2</x:v>
      </x:c>
      <x:c r="E56" s="13" t="str">
        <x:f>IF(D56="","",IF(AND(D56&gt;=1/9,D56&lt;=9),"ОК","Проверьте"))</x:f>
        <x:v>ОК</x:v>
      </x:c>
    </x:row>
    <x:row r="57">
      <x:c r="A57" s="13" t="str">
        <x:v>C4 Пригодность для планирования</x:v>
      </x:c>
      <x:c r="B57" s="13" t="str">
        <x:v>A1 Бронирование помещений</x:v>
      </x:c>
      <x:c r="C57" s="13" t="str">
        <x:v>A2 Учебные группы</x:v>
      </x:c>
      <x:c r="D57" s="14" t="n">
        <x:v>2</x:v>
      </x:c>
      <x:c r="E57" s="13" t="str">
        <x:f>IF(D57="","",IF(AND(D57&gt;=1/9,D57&lt;=9),"ОК","Проверьте"))</x:f>
        <x:v>ОК</x:v>
      </x:c>
    </x:row>
    <x:row r="58">
      <x:c r="A58" s="13" t="str">
        <x:v>C4 Пригодность для планирования</x:v>
      </x:c>
      <x:c r="B58" s="13" t="str">
        <x:v>A1 Бронирование помещений</x:v>
      </x:c>
      <x:c r="C58" s="13" t="str">
        <x:v>A3 Студенческие события</x:v>
      </x:c>
      <x:c r="D58" s="14" t="n">
        <x:v>1</x:v>
      </x:c>
      <x:c r="E58" s="13" t="str">
        <x:f>IF(D58="","",IF(AND(D58&gt;=1/9,D58&lt;=9),"ОК","Проверьте"))</x:f>
        <x:v>ОК</x:v>
      </x:c>
    </x:row>
    <x:row r="59">
      <x:c r="A59" s="13" t="str">
        <x:v>C4 Пригодность для планирования</x:v>
      </x:c>
      <x:c r="B59" s="13" t="str">
        <x:v>A1 Бронирование помещений</x:v>
      </x:c>
      <x:c r="C59" s="13" t="str">
        <x:v>A4 Волонтёрские смены</x:v>
      </x:c>
      <x:c r="D59" s="14" t="n">
        <x:v>1</x:v>
      </x:c>
      <x:c r="E59" s="13" t="str">
        <x:f>IF(D59="","",IF(AND(D59&gt;=1/9,D59&lt;=9),"ОК","Проверьте"))</x:f>
        <x:v>ОК</x:v>
      </x:c>
    </x:row>
    <x:row r="60">
      <x:c r="A60" s="13" t="str">
        <x:v>C4 Пригодность для планирования</x:v>
      </x:c>
      <x:c r="B60" s="13" t="str">
        <x:v>A2 Учебные группы</x:v>
      </x:c>
      <x:c r="C60" s="13" t="str">
        <x:v>A3 Студенческие события</x:v>
      </x:c>
      <x:c r="D60" s="14" t="n">
        <x:v>0.5</x:v>
      </x:c>
      <x:c r="E60" s="13" t="str">
        <x:f>IF(D60="","",IF(AND(D60&gt;=1/9,D60&lt;=9),"ОК","Проверьте"))</x:f>
        <x:v>ОК</x:v>
      </x:c>
    </x:row>
    <x:row r="61">
      <x:c r="A61" s="13" t="str">
        <x:v>C4 Пригодность для планирования</x:v>
      </x:c>
      <x:c r="B61" s="13" t="str">
        <x:v>A2 Учебные группы</x:v>
      </x:c>
      <x:c r="C61" s="13" t="str">
        <x:v>A4 Волонтёрские смены</x:v>
      </x:c>
      <x:c r="D61" s="14" t="n">
        <x:v>0.5</x:v>
      </x:c>
      <x:c r="E61" s="13" t="str">
        <x:f>IF(D61="","",IF(AND(D61&gt;=1/9,D61&lt;=9),"ОК","Проверьте"))</x:f>
        <x:v>ОК</x:v>
      </x:c>
    </x:row>
    <x:row r="62">
      <x:c r="A62" s="13" t="str">
        <x:v>C4 Пригодность для планирования</x:v>
      </x:c>
      <x:c r="B62" s="13" t="str">
        <x:v>A3 Студенческие события</x:v>
      </x:c>
      <x:c r="C62" s="13" t="str">
        <x:v>A4 Волонтёрские смены</x:v>
      </x:c>
      <x:c r="D62" s="14" t="n">
        <x:v>1</x:v>
      </x:c>
      <x:c r="E62" s="13" t="str">
        <x:f>IF(D62="","",IF(AND(D62&gt;=1/9,D62&lt;=9),"ОК","Проверьте"))</x:f>
        <x:v>ОК</x:v>
      </x:c>
    </x:row>
  </x:sheetData>
  <x:mergeCells>
    <x:mergeCell ref="A1:G1"/>
    <x:mergeCell ref="A4:G4"/>
    <x:mergeCell ref="A5:G5"/>
    <x:mergeCell ref="A29:G29"/>
    <x:mergeCell ref="A30:G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</x:cols>
  <x:sheetData>
    <x:row r="1">
      <x:c r="A1" s="10" t="str">
        <x:v>Оценки сценарного профиля M3</x:v>
      </x:c>
      <x:c r="B1" s="10"/>
      <x:c r="C1" s="10"/>
      <x:c r="D1" s="10"/>
      <x:c r="E1" s="10"/>
      <x:c r="F1" s="10"/>
      <x:c r="G1" s="10"/>
    </x:row>
    <x:row r="3">
      <x:c r="A3" t="str">
        <x:v>Сценарный профиль</x:v>
      </x:c>
      <x:c r="B3" t="str">
        <x:v>M3 — Акцент на реализуемости учебной командой</x:v>
      </x:c>
    </x:row>
    <x:row r="4">
      <x:c r="A4" t="str">
        <x:v>Сценарные исходные значения; индивидуальный опрос участников не проводился.</x:v>
      </x:c>
    </x:row>
    <x:row r="5">
      <x:c r="A5" s="6" t="str">
        <x:v>Нечёткий TOPSIS — три оценки по шкале 1–9</x:v>
      </x:c>
      <x:c r="B5" s="6"/>
      <x:c r="C5" s="6"/>
      <x:c r="D5" s="6"/>
      <x:c r="E5" s="6"/>
      <x:c r="F5" s="6"/>
      <x:c r="G5" s="6"/>
    </x:row>
    <x:row r="6">
      <x:c r="A6" s="12" t="str">
        <x:v>Тип</x:v>
      </x:c>
      <x:c r="B6" s="12" t="str">
        <x:v>Концепция</x:v>
      </x:c>
      <x:c r="C6" s="12" t="str">
        <x:v>Критерий</x:v>
      </x:c>
      <x:c r="D6" s="12" t="str">
        <x:v>Пессимистичная</x:v>
      </x:c>
      <x:c r="E6" s="12" t="str">
        <x:v>Ожидаемая</x:v>
      </x:c>
      <x:c r="F6" s="12" t="str">
        <x:v>Оптимистичная</x:v>
      </x:c>
      <x:c r="G6" s="12" t="str">
        <x:v>Проверка</x:v>
      </x:c>
    </x:row>
    <x:row r="7">
      <x:c r="A7" s="13" t="str">
        <x:v>Вес критерия</x:v>
      </x:c>
      <x:c r="B7" s="13" t="str">
        <x:v>—</x:v>
      </x:c>
      <x:c r="C7" s="13" t="str">
        <x:v>C1 Полезность</x:v>
      </x:c>
      <x:c r="D7" s="14" t="n">
        <x:v>6</x:v>
      </x:c>
      <x:c r="E7" s="14" t="n">
        <x:v>7</x:v>
      </x:c>
      <x:c r="F7" s="14" t="n">
        <x:v>8</x:v>
      </x:c>
      <x:c r="G7" s="13" t="str">
        <x:f>IF(COUNTA(D7:F7)=0,"",IF(AND(COUNT(D7:F7)=3,D7&gt;=1,F7&lt;=9,D7&lt;=E7,E7&lt;=F7),"ОК","Проверьте"))</x:f>
        <x:v>ОК</x:v>
      </x:c>
    </x:row>
    <x:row r="8">
      <x:c r="A8" s="13" t="str">
        <x:v>Вес критерия</x:v>
      </x:c>
      <x:c r="B8" s="13" t="str">
        <x:v>—</x:v>
      </x:c>
      <x:c r="C8" s="13" t="str">
        <x:v>C2 Реализуемость</x:v>
      </x:c>
      <x:c r="D8" s="14" t="n">
        <x:v>8</x:v>
      </x:c>
      <x:c r="E8" s="14" t="n">
        <x:v>9</x:v>
      </x:c>
      <x:c r="F8" s="14" t="n">
        <x:v>9</x:v>
      </x:c>
      <x:c r="G8" s="13" t="str">
        <x:f>IF(COUNTA(D8:F8)=0,"",IF(AND(COUNT(D8:F8)=3,D8&gt;=1,F8&lt;=9,D8&lt;=E8,E8&lt;=F8),"ОК","Проверьте"))</x:f>
        <x:v>ОК</x:v>
      </x:c>
    </x:row>
    <x:row r="9">
      <x:c r="A9" s="13" t="str">
        <x:v>Вес критерия</x:v>
      </x:c>
      <x:c r="B9" s="13" t="str">
        <x:v>—</x:v>
      </x:c>
      <x:c r="C9" s="13" t="str">
        <x:v>C3 Ясность сценариев</x:v>
      </x:c>
      <x:c r="D9" s="14" t="n">
        <x:v>6</x:v>
      </x:c>
      <x:c r="E9" s="14" t="n">
        <x:v>7</x:v>
      </x:c>
      <x:c r="F9" s="14" t="n">
        <x:v>8</x:v>
      </x:c>
      <x:c r="G9" s="13" t="str">
        <x:f>IF(COUNTA(D9:F9)=0,"",IF(AND(COUNT(D9:F9)=3,D9&gt;=1,F9&lt;=9,D9&lt;=E9,E9&lt;=F9),"ОК","Проверьте"))</x:f>
        <x:v>ОК</x:v>
      </x:c>
    </x:row>
    <x:row r="10">
      <x:c r="A10" s="13" t="str">
        <x:v>Вес критерия</x:v>
      </x:c>
      <x:c r="B10" s="13" t="str">
        <x:v>—</x:v>
      </x:c>
      <x:c r="C10" s="13" t="str">
        <x:v>C4 Пригодность для планирования</x:v>
      </x:c>
      <x:c r="D10" s="14" t="n">
        <x:v>5</x:v>
      </x:c>
      <x:c r="E10" s="14" t="n">
        <x:v>6</x:v>
      </x:c>
      <x:c r="F10" s="14" t="n">
        <x:v>7</x:v>
      </x:c>
      <x:c r="G10" s="13" t="str">
        <x:f>IF(COUNTA(D10:F10)=0,"",IF(AND(COUNT(D10:F10)=3,D10&gt;=1,F10&lt;=9,D10&lt;=E10,E10&lt;=F10),"ОК","Проверьте"))</x:f>
        <x:v>ОК</x:v>
      </x:c>
    </x:row>
    <x:row r="11">
      <x:c r="A11" s="13" t="str">
        <x:v>Оценка концепции</x:v>
      </x:c>
      <x:c r="B11" s="13" t="str">
        <x:v>A1 Бронирование помещений</x:v>
      </x:c>
      <x:c r="C11" s="13" t="str">
        <x:v>C1 Полезность</x:v>
      </x:c>
      <x:c r="D11" s="14" t="n">
        <x:v>6</x:v>
      </x:c>
      <x:c r="E11" s="14" t="n">
        <x:v>7</x:v>
      </x:c>
      <x:c r="F11" s="14" t="n">
        <x:v>8</x:v>
      </x:c>
      <x:c r="G11" s="13" t="str">
        <x:f>IF(COUNTA(D11:F11)=0,"",IF(AND(COUNT(D11:F11)=3,D11&gt;=1,F11&lt;=9,D11&lt;=E11,E11&lt;=F11),"ОК","Проверьте"))</x:f>
        <x:v>ОК</x:v>
      </x:c>
    </x:row>
    <x:row r="12">
      <x:c r="A12" s="13" t="str">
        <x:v>Оценка концепции</x:v>
      </x:c>
      <x:c r="B12" s="13" t="str">
        <x:v>A1 Бронирование помещений</x:v>
      </x:c>
      <x:c r="C12" s="13" t="str">
        <x:v>C2 Реализуемость</x:v>
      </x:c>
      <x:c r="D12" s="14" t="n">
        <x:v>4</x:v>
      </x:c>
      <x:c r="E12" s="14" t="n">
        <x:v>5</x:v>
      </x:c>
      <x:c r="F12" s="14" t="n">
        <x:v>6</x:v>
      </x:c>
      <x:c r="G12" s="13" t="str">
        <x:f>IF(COUNTA(D12:F12)=0,"",IF(AND(COUNT(D12:F12)=3,D12&gt;=1,F12&lt;=9,D12&lt;=E12,E12&lt;=F12),"ОК","Проверьте"))</x:f>
        <x:v>ОК</x:v>
      </x:c>
    </x:row>
    <x:row r="13">
      <x:c r="A13" s="13" t="str">
        <x:v>Оценка концепции</x:v>
      </x:c>
      <x:c r="B13" s="13" t="str">
        <x:v>A1 Бронирование помещений</x:v>
      </x:c>
      <x:c r="C13" s="13" t="str">
        <x:v>C3 Ясность сценариев</x:v>
      </x:c>
      <x:c r="D13" s="14" t="n">
        <x:v>8</x:v>
      </x:c>
      <x:c r="E13" s="14" t="n">
        <x:v>9</x:v>
      </x:c>
      <x:c r="F13" s="14" t="n">
        <x:v>9</x:v>
      </x:c>
      <x:c r="G13" s="13" t="str">
        <x:f>IF(COUNTA(D13:F13)=0,"",IF(AND(COUNT(D13:F13)=3,D13&gt;=1,F13&lt;=9,D13&lt;=E13,E13&lt;=F13),"ОК","Проверьте"))</x:f>
        <x:v>ОК</x:v>
      </x:c>
    </x:row>
    <x:row r="14">
      <x:c r="A14" s="13" t="str">
        <x:v>Оценка концепции</x:v>
      </x:c>
      <x:c r="B14" s="13" t="str">
        <x:v>A1 Бронирование помещений</x:v>
      </x:c>
      <x:c r="C14" s="13" t="str">
        <x:v>C4 Пригодность для планирования</x:v>
      </x:c>
      <x:c r="D14" s="14" t="n">
        <x:v>6</x:v>
      </x:c>
      <x:c r="E14" s="14" t="n">
        <x:v>7</x:v>
      </x:c>
      <x:c r="F14" s="14" t="n">
        <x:v>8</x:v>
      </x:c>
      <x:c r="G14" s="13" t="str">
        <x:f>IF(COUNTA(D14:F14)=0,"",IF(AND(COUNT(D14:F14)=3,D14&gt;=1,F14&lt;=9,D14&lt;=E14,E14&lt;=F14),"ОК","Проверьте"))</x:f>
        <x:v>ОК</x:v>
      </x:c>
    </x:row>
    <x:row r="15">
      <x:c r="A15" s="13" t="str">
        <x:v>Оценка концепции</x:v>
      </x:c>
      <x:c r="B15" s="13" t="str">
        <x:v>A2 Учебные группы</x:v>
      </x:c>
      <x:c r="C15" s="13" t="str">
        <x:v>C1 Полезность</x:v>
      </x:c>
      <x:c r="D15" s="14" t="n">
        <x:v>6</x:v>
      </x:c>
      <x:c r="E15" s="14" t="n">
        <x:v>7</x:v>
      </x:c>
      <x:c r="F15" s="14" t="n">
        <x:v>8</x:v>
      </x:c>
      <x:c r="G15" s="13" t="str">
        <x:f>IF(COUNTA(D15:F15)=0,"",IF(AND(COUNT(D15:F15)=3,D15&gt;=1,F15&lt;=9,D15&lt;=E15,E15&lt;=F15),"ОК","Проверьте"))</x:f>
        <x:v>ОК</x:v>
      </x:c>
    </x:row>
    <x:row r="16">
      <x:c r="A16" s="13" t="str">
        <x:v>Оценка концепции</x:v>
      </x:c>
      <x:c r="B16" s="13" t="str">
        <x:v>A2 Учебные группы</x:v>
      </x:c>
      <x:c r="C16" s="13" t="str">
        <x:v>C2 Реализуемость</x:v>
      </x:c>
      <x:c r="D16" s="14" t="n">
        <x:v>8</x:v>
      </x:c>
      <x:c r="E16" s="14" t="n">
        <x:v>9</x:v>
      </x:c>
      <x:c r="F16" s="14" t="n">
        <x:v>9</x:v>
      </x:c>
      <x:c r="G16" s="13" t="str">
        <x:f>IF(COUNTA(D16:F16)=0,"",IF(AND(COUNT(D16:F16)=3,D16&gt;=1,F16&lt;=9,D16&lt;=E16,E16&lt;=F16),"ОК","Проверьте"))</x:f>
        <x:v>ОК</x:v>
      </x:c>
    </x:row>
    <x:row r="17">
      <x:c r="A17" s="13" t="str">
        <x:v>Оценка концепции</x:v>
      </x:c>
      <x:c r="B17" s="13" t="str">
        <x:v>A2 Учебные группы</x:v>
      </x:c>
      <x:c r="C17" s="13" t="str">
        <x:v>C3 Ясность сценариев</x:v>
      </x:c>
      <x:c r="D17" s="14" t="n">
        <x:v>5</x:v>
      </x:c>
      <x:c r="E17" s="14" t="n">
        <x:v>6</x:v>
      </x:c>
      <x:c r="F17" s="14" t="n">
        <x:v>7</x:v>
      </x:c>
      <x:c r="G17" s="13" t="str">
        <x:f>IF(COUNTA(D17:F17)=0,"",IF(AND(COUNT(D17:F17)=3,D17&gt;=1,F17&lt;=9,D17&lt;=E17,E17&lt;=F17),"ОК","Проверьте"))</x:f>
        <x:v>ОК</x:v>
      </x:c>
    </x:row>
    <x:row r="18">
      <x:c r="A18" s="13" t="str">
        <x:v>Оценка концепции</x:v>
      </x:c>
      <x:c r="B18" s="13" t="str">
        <x:v>A2 Учебные группы</x:v>
      </x:c>
      <x:c r="C18" s="13" t="str">
        <x:v>C4 Пригодность для планирования</x:v>
      </x:c>
      <x:c r="D18" s="14" t="n">
        <x:v>5</x:v>
      </x:c>
      <x:c r="E18" s="14" t="n">
        <x:v>6</x:v>
      </x:c>
      <x:c r="F18" s="14" t="n">
        <x:v>7</x:v>
      </x:c>
      <x:c r="G18" s="13" t="str">
        <x:f>IF(COUNTA(D18:F18)=0,"",IF(AND(COUNT(D18:F18)=3,D18&gt;=1,F18&lt;=9,D18&lt;=E18,E18&lt;=F18),"ОК","Проверьте"))</x:f>
        <x:v>ОК</x:v>
      </x:c>
    </x:row>
    <x:row r="19">
      <x:c r="A19" s="13" t="str">
        <x:v>Оценка концепции</x:v>
      </x:c>
      <x:c r="B19" s="13" t="str">
        <x:v>A3 Студенческие события</x:v>
      </x:c>
      <x:c r="C19" s="13" t="str">
        <x:v>C1 Полезность</x:v>
      </x:c>
      <x:c r="D19" s="14" t="n">
        <x:v>7</x:v>
      </x:c>
      <x:c r="E19" s="14" t="n">
        <x:v>8</x:v>
      </x:c>
      <x:c r="F19" s="14" t="n">
        <x:v>9</x:v>
      </x:c>
      <x:c r="G19" s="13" t="str">
        <x:f>IF(COUNTA(D19:F19)=0,"",IF(AND(COUNT(D19:F19)=3,D19&gt;=1,F19&lt;=9,D19&lt;=E19,E19&lt;=F19),"ОК","Проверьте"))</x:f>
        <x:v>ОК</x:v>
      </x:c>
    </x:row>
    <x:row r="20">
      <x:c r="A20" s="13" t="str">
        <x:v>Оценка концепции</x:v>
      </x:c>
      <x:c r="B20" s="13" t="str">
        <x:v>A3 Студенческие события</x:v>
      </x:c>
      <x:c r="C20" s="13" t="str">
        <x:v>C2 Реализуемость</x:v>
      </x:c>
      <x:c r="D20" s="14" t="n">
        <x:v>7</x:v>
      </x:c>
      <x:c r="E20" s="14" t="n">
        <x:v>8</x:v>
      </x:c>
      <x:c r="F20" s="14" t="n">
        <x:v>9</x:v>
      </x:c>
      <x:c r="G20" s="13" t="str">
        <x:f>IF(COUNTA(D20:F20)=0,"",IF(AND(COUNT(D20:F20)=3,D20&gt;=1,F20&lt;=9,D20&lt;=E20,E20&lt;=F20),"ОК","Проверьте"))</x:f>
        <x:v>ОК</x:v>
      </x:c>
    </x:row>
    <x:row r="21">
      <x:c r="A21" s="13" t="str">
        <x:v>Оценка концепции</x:v>
      </x:c>
      <x:c r="B21" s="13" t="str">
        <x:v>A3 Студенческие события</x:v>
      </x:c>
      <x:c r="C21" s="13" t="str">
        <x:v>C3 Ясность сценариев</x:v>
      </x:c>
      <x:c r="D21" s="14" t="n">
        <x:v>7</x:v>
      </x:c>
      <x:c r="E21" s="14" t="n">
        <x:v>8</x:v>
      </x:c>
      <x:c r="F21" s="14" t="n">
        <x:v>9</x:v>
      </x:c>
      <x:c r="G21" s="13" t="str">
        <x:f>IF(COUNTA(D21:F21)=0,"",IF(AND(COUNT(D21:F21)=3,D21&gt;=1,F21&lt;=9,D21&lt;=E21,E21&lt;=F21),"ОК","Проверьте"))</x:f>
        <x:v>ОК</x:v>
      </x:c>
    </x:row>
    <x:row r="22">
      <x:c r="A22" s="13" t="str">
        <x:v>Оценка концепции</x:v>
      </x:c>
      <x:c r="B22" s="13" t="str">
        <x:v>A3 Студенческие события</x:v>
      </x:c>
      <x:c r="C22" s="13" t="str">
        <x:v>C4 Пригодность для планирования</x:v>
      </x:c>
      <x:c r="D22" s="14" t="n">
        <x:v>7</x:v>
      </x:c>
      <x:c r="E22" s="14" t="n">
        <x:v>8</x:v>
      </x:c>
      <x:c r="F22" s="14" t="n">
        <x:v>9</x:v>
      </x:c>
      <x:c r="G22" s="13" t="str">
        <x:f>IF(COUNTA(D22:F22)=0,"",IF(AND(COUNT(D22:F22)=3,D22&gt;=1,F22&lt;=9,D22&lt;=E22,E22&lt;=F22),"ОК","Проверьте"))</x:f>
        <x:v>ОК</x:v>
      </x:c>
    </x:row>
    <x:row r="23">
      <x:c r="A23" s="13" t="str">
        <x:v>Оценка концепции</x:v>
      </x:c>
      <x:c r="B23" s="13" t="str">
        <x:v>A4 Волонтёрские смены</x:v>
      </x:c>
      <x:c r="C23" s="13" t="str">
        <x:v>C1 Полезность</x:v>
      </x:c>
      <x:c r="D23" s="14" t="n">
        <x:v>6</x:v>
      </x:c>
      <x:c r="E23" s="14" t="n">
        <x:v>7</x:v>
      </x:c>
      <x:c r="F23" s="14" t="n">
        <x:v>8</x:v>
      </x:c>
      <x:c r="G23" s="13" t="str">
        <x:f>IF(COUNTA(D23:F23)=0,"",IF(AND(COUNT(D23:F23)=3,D23&gt;=1,F23&lt;=9,D23&lt;=E23,E23&lt;=F23),"ОК","Проверьте"))</x:f>
        <x:v>ОК</x:v>
      </x:c>
    </x:row>
    <x:row r="24">
      <x:c r="A24" s="13" t="str">
        <x:v>Оценка концепции</x:v>
      </x:c>
      <x:c r="B24" s="13" t="str">
        <x:v>A4 Волонтёрские смены</x:v>
      </x:c>
      <x:c r="C24" s="13" t="str">
        <x:v>C2 Реализуемость</x:v>
      </x:c>
      <x:c r="D24" s="14" t="n">
        <x:v>5</x:v>
      </x:c>
      <x:c r="E24" s="14" t="n">
        <x:v>6</x:v>
      </x:c>
      <x:c r="F24" s="14" t="n">
        <x:v>7</x:v>
      </x:c>
      <x:c r="G24" s="13" t="str">
        <x:f>IF(COUNTA(D24:F24)=0,"",IF(AND(COUNT(D24:F24)=3,D24&gt;=1,F24&lt;=9,D24&lt;=E24,E24&lt;=F24),"ОК","Проверьте"))</x:f>
        <x:v>ОК</x:v>
      </x:c>
    </x:row>
    <x:row r="25">
      <x:c r="A25" s="13" t="str">
        <x:v>Оценка концепции</x:v>
      </x:c>
      <x:c r="B25" s="13" t="str">
        <x:v>A4 Волонтёрские смены</x:v>
      </x:c>
      <x:c r="C25" s="13" t="str">
        <x:v>C3 Ясность сценариев</x:v>
      </x:c>
      <x:c r="D25" s="14" t="n">
        <x:v>7</x:v>
      </x:c>
      <x:c r="E25" s="14" t="n">
        <x:v>8</x:v>
      </x:c>
      <x:c r="F25" s="14" t="n">
        <x:v>9</x:v>
      </x:c>
      <x:c r="G25" s="13" t="str">
        <x:f>IF(COUNTA(D25:F25)=0,"",IF(AND(COUNT(D25:F25)=3,D25&gt;=1,F25&lt;=9,D25&lt;=E25,E25&lt;=F25),"ОК","Проверьте"))</x:f>
        <x:v>ОК</x:v>
      </x:c>
    </x:row>
    <x:row r="26">
      <x:c r="A26" s="13" t="str">
        <x:v>Оценка концепции</x:v>
      </x:c>
      <x:c r="B26" s="13" t="str">
        <x:v>A4 Волонтёрские смены</x:v>
      </x:c>
      <x:c r="C26" s="13" t="str">
        <x:v>C4 Пригодность для планирования</x:v>
      </x:c>
      <x:c r="D26" s="14" t="n">
        <x:v>8</x:v>
      </x:c>
      <x:c r="E26" s="14" t="n">
        <x:v>9</x:v>
      </x:c>
      <x:c r="F26" s="14" t="n">
        <x:v>9</x:v>
      </x:c>
      <x:c r="G26" s="13" t="str">
        <x:f>IF(COUNTA(D26:F26)=0,"",IF(AND(COUNT(D26:F26)=3,D26&gt;=1,F26&lt;=9,D26&lt;=E26,E26&lt;=F26),"ОК","Проверьте"))</x:f>
        <x:v>ОК</x:v>
      </x:c>
    </x:row>
    <x:row r="29">
      <x:c r="A29" s="6" t="str">
        <x:v>Чёткий МАИ — парные сравнения</x:v>
      </x:c>
      <x:c r="B29" s="6"/>
      <x:c r="C29" s="6"/>
      <x:c r="D29" s="6"/>
      <x:c r="E29" s="6"/>
      <x:c r="F29" s="6"/>
      <x:c r="G29" s="6"/>
    </x:row>
    <x:row r="30">
      <x:c r="A30" t="str">
        <x:v>Столбец D: предпочтение первого элемента относительно второго, от 1/9 до 9.</x:v>
      </x:c>
    </x:row>
    <x:row r="32">
      <x:c r="A32" s="12" t="str">
        <x:v>Матрица</x:v>
      </x:c>
      <x:c r="B32" s="12" t="str">
        <x:v>Первый элемент</x:v>
      </x:c>
      <x:c r="C32" s="12" t="str">
        <x:v>Второй элемент</x:v>
      </x:c>
      <x:c r="D32" s="12" t="str">
        <x:v>Оценка</x:v>
      </x:c>
      <x:c r="E32" s="13" t="str">
        <x:v>Проверка</x:v>
      </x:c>
    </x:row>
    <x:row r="33">
      <x:c r="A33" s="13" t="str">
        <x:v>Критерии</x:v>
      </x:c>
      <x:c r="B33" s="13" t="str">
        <x:v>C1 Полезность</x:v>
      </x:c>
      <x:c r="C33" s="13" t="str">
        <x:v>C2 Реализуемость</x:v>
      </x:c>
      <x:c r="D33" s="14" t="n">
        <x:v>0.5</x:v>
      </x:c>
      <x:c r="E33" s="13" t="str">
        <x:f>IF(D33="","",IF(AND(D33&gt;=1/9,D33&lt;=9),"ОК","Проверьте"))</x:f>
        <x:v>ОК</x:v>
      </x:c>
    </x:row>
    <x:row r="34">
      <x:c r="A34" s="13" t="str">
        <x:v>Критерии</x:v>
      </x:c>
      <x:c r="B34" s="13" t="str">
        <x:v>C1 Полезность</x:v>
      </x:c>
      <x:c r="C34" s="13" t="str">
        <x:v>C3 Ясность сценариев</x:v>
      </x:c>
      <x:c r="D34" s="14" t="n">
        <x:v>2</x:v>
      </x:c>
      <x:c r="E34" s="13" t="str">
        <x:f>IF(D34="","",IF(AND(D34&gt;=1/9,D34&lt;=9),"ОК","Проверьте"))</x:f>
        <x:v>ОК</x:v>
      </x:c>
    </x:row>
    <x:row r="35">
      <x:c r="A35" s="13" t="str">
        <x:v>Критерии</x:v>
      </x:c>
      <x:c r="B35" s="13" t="str">
        <x:v>C1 Полезность</x:v>
      </x:c>
      <x:c r="C35" s="13" t="str">
        <x:v>C4 Пригодность для планирования</x:v>
      </x:c>
      <x:c r="D35" s="14" t="n">
        <x:v>1</x:v>
      </x:c>
      <x:c r="E35" s="13" t="str">
        <x:f>IF(D35="","",IF(AND(D35&gt;=1/9,D35&lt;=9),"ОК","Проверьте"))</x:f>
        <x:v>ОК</x:v>
      </x:c>
    </x:row>
    <x:row r="36">
      <x:c r="A36" s="13" t="str">
        <x:v>Критерии</x:v>
      </x:c>
      <x:c r="B36" s="13" t="str">
        <x:v>C2 Реализуемость</x:v>
      </x:c>
      <x:c r="C36" s="13" t="str">
        <x:v>C3 Ясность сценариев</x:v>
      </x:c>
      <x:c r="D36" s="14" t="n">
        <x:v>3</x:v>
      </x:c>
      <x:c r="E36" s="13" t="str">
        <x:f>IF(D36="","",IF(AND(D36&gt;=1/9,D36&lt;=9),"ОК","Проверьте"))</x:f>
        <x:v>ОК</x:v>
      </x:c>
    </x:row>
    <x:row r="37">
      <x:c r="A37" s="13" t="str">
        <x:v>Критерии</x:v>
      </x:c>
      <x:c r="B37" s="13" t="str">
        <x:v>C2 Реализуемость</x:v>
      </x:c>
      <x:c r="C37" s="13" t="str">
        <x:v>C4 Пригодность для планирования</x:v>
      </x:c>
      <x:c r="D37" s="14" t="n">
        <x:v>2</x:v>
      </x:c>
      <x:c r="E37" s="13" t="str">
        <x:f>IF(D37="","",IF(AND(D37&gt;=1/9,D37&lt;=9),"ОК","Проверьте"))</x:f>
        <x:v>ОК</x:v>
      </x:c>
    </x:row>
    <x:row r="38">
      <x:c r="A38" s="13" t="str">
        <x:v>Критерии</x:v>
      </x:c>
      <x:c r="B38" s="13" t="str">
        <x:v>C3 Ясность сценариев</x:v>
      </x:c>
      <x:c r="C38" s="13" t="str">
        <x:v>C4 Пригодность для планирования</x:v>
      </x:c>
      <x:c r="D38" s="14" t="n">
        <x:v>0.5</x:v>
      </x:c>
      <x:c r="E38" s="13" t="str">
        <x:f>IF(D38="","",IF(AND(D38&gt;=1/9,D38&lt;=9),"ОК","Проверьте"))</x:f>
        <x:v>ОК</x:v>
      </x:c>
    </x:row>
    <x:row r="39">
      <x:c r="A39" s="13" t="str">
        <x:v>C1 Полезность</x:v>
      </x:c>
      <x:c r="B39" s="13" t="str">
        <x:v>A1 Бронирование помещений</x:v>
      </x:c>
      <x:c r="C39" s="13" t="str">
        <x:v>A2 Учебные группы</x:v>
      </x:c>
      <x:c r="D39" s="14" t="n">
        <x:v>1</x:v>
      </x:c>
      <x:c r="E39" s="13" t="str">
        <x:f>IF(D39="","",IF(AND(D39&gt;=1/9,D39&lt;=9),"ОК","Проверьте"))</x:f>
        <x:v>ОК</x:v>
      </x:c>
    </x:row>
    <x:row r="40">
      <x:c r="A40" s="13" t="str">
        <x:v>C1 Полезность</x:v>
      </x:c>
      <x:c r="B40" s="13" t="str">
        <x:v>A1 Бронирование помещений</x:v>
      </x:c>
      <x:c r="C40" s="13" t="str">
        <x:v>A3 Студенческие события</x:v>
      </x:c>
      <x:c r="D40" s="14" t="n">
        <x:v>1</x:v>
      </x:c>
      <x:c r="E40" s="13" t="str">
        <x:f>IF(D40="","",IF(AND(D40&gt;=1/9,D40&lt;=9),"ОК","Проверьте"))</x:f>
        <x:v>ОК</x:v>
      </x:c>
    </x:row>
    <x:row r="41">
      <x:c r="A41" s="13" t="str">
        <x:v>C1 Полезность</x:v>
      </x:c>
      <x:c r="B41" s="13" t="str">
        <x:v>A1 Бронирование помещений</x:v>
      </x:c>
      <x:c r="C41" s="13" t="str">
        <x:v>A4 Волонтёрские смены</x:v>
      </x:c>
      <x:c r="D41" s="14" t="n">
        <x:v>1</x:v>
      </x:c>
      <x:c r="E41" s="13" t="str">
        <x:f>IF(D41="","",IF(AND(D41&gt;=1/9,D41&lt;=9),"ОК","Проверьте"))</x:f>
        <x:v>ОК</x:v>
      </x:c>
    </x:row>
    <x:row r="42">
      <x:c r="A42" s="13" t="str">
        <x:v>C1 Полезность</x:v>
      </x:c>
      <x:c r="B42" s="13" t="str">
        <x:v>A2 Учебные группы</x:v>
      </x:c>
      <x:c r="C42" s="13" t="str">
        <x:v>A3 Студенческие события</x:v>
      </x:c>
      <x:c r="D42" s="14" t="n">
        <x:v>1</x:v>
      </x:c>
      <x:c r="E42" s="13" t="str">
        <x:f>IF(D42="","",IF(AND(D42&gt;=1/9,D42&lt;=9),"ОК","Проверьте"))</x:f>
        <x:v>ОК</x:v>
      </x:c>
    </x:row>
    <x:row r="43">
      <x:c r="A43" s="13" t="str">
        <x:v>C1 Полезность</x:v>
      </x:c>
      <x:c r="B43" s="13" t="str">
        <x:v>A2 Учебные группы</x:v>
      </x:c>
      <x:c r="C43" s="13" t="str">
        <x:v>A4 Волонтёрские смены</x:v>
      </x:c>
      <x:c r="D43" s="14" t="n">
        <x:v>1</x:v>
      </x:c>
      <x:c r="E43" s="13" t="str">
        <x:f>IF(D43="","",IF(AND(D43&gt;=1/9,D43&lt;=9),"ОК","Проверьте"))</x:f>
        <x:v>ОК</x:v>
      </x:c>
    </x:row>
    <x:row r="44">
      <x:c r="A44" s="13" t="str">
        <x:v>C1 Полезность</x:v>
      </x:c>
      <x:c r="B44" s="13" t="str">
        <x:v>A3 Студенческие события</x:v>
      </x:c>
      <x:c r="C44" s="13" t="str">
        <x:v>A4 Волонтёрские смены</x:v>
      </x:c>
      <x:c r="D44" s="14" t="n">
        <x:v>1</x:v>
      </x:c>
      <x:c r="E44" s="13" t="str">
        <x:f>IF(D44="","",IF(AND(D44&gt;=1/9,D44&lt;=9),"ОК","Проверьте"))</x:f>
        <x:v>ОК</x:v>
      </x:c>
    </x:row>
    <x:row r="45">
      <x:c r="A45" s="13" t="str">
        <x:v>C2 Реализуемость</x:v>
      </x:c>
      <x:c r="B45" s="13" t="str">
        <x:v>A1 Бронирование помещений</x:v>
      </x:c>
      <x:c r="C45" s="13" t="str">
        <x:v>A2 Учебные группы</x:v>
      </x:c>
      <x:c r="D45" s="14" t="n">
        <x:v>0.3333333333333333</x:v>
      </x:c>
      <x:c r="E45" s="13" t="str">
        <x:f>IF(D45="","",IF(AND(D45&gt;=1/9,D45&lt;=9),"ОК","Проверьте"))</x:f>
        <x:v>ОК</x:v>
      </x:c>
    </x:row>
    <x:row r="46">
      <x:c r="A46" s="13" t="str">
        <x:v>C2 Реализуемость</x:v>
      </x:c>
      <x:c r="B46" s="13" t="str">
        <x:v>A1 Бронирование помещений</x:v>
      </x:c>
      <x:c r="C46" s="13" t="str">
        <x:v>A3 Студенческие события</x:v>
      </x:c>
      <x:c r="D46" s="14" t="n">
        <x:v>0.3333333333333333</x:v>
      </x:c>
      <x:c r="E46" s="13" t="str">
        <x:f>IF(D46="","",IF(AND(D46&gt;=1/9,D46&lt;=9),"ОК","Проверьте"))</x:f>
        <x:v>ОК</x:v>
      </x:c>
    </x:row>
    <x:row r="47">
      <x:c r="A47" s="13" t="str">
        <x:v>C2 Реализуемость</x:v>
      </x:c>
      <x:c r="B47" s="13" t="str">
        <x:v>A1 Бронирование помещений</x:v>
      </x:c>
      <x:c r="C47" s="13" t="str">
        <x:v>A4 Волонтёрские смены</x:v>
      </x:c>
      <x:c r="D47" s="14" t="n">
        <x:v>0.5</x:v>
      </x:c>
      <x:c r="E47" s="13" t="str">
        <x:f>IF(D47="","",IF(AND(D47&gt;=1/9,D47&lt;=9),"ОК","Проверьте"))</x:f>
        <x:v>ОК</x:v>
      </x:c>
    </x:row>
    <x:row r="48">
      <x:c r="A48" s="13" t="str">
        <x:v>C2 Реализуемость</x:v>
      </x:c>
      <x:c r="B48" s="13" t="str">
        <x:v>A2 Учебные группы</x:v>
      </x:c>
      <x:c r="C48" s="13" t="str">
        <x:v>A3 Студенческие события</x:v>
      </x:c>
      <x:c r="D48" s="14" t="n">
        <x:v>1</x:v>
      </x:c>
      <x:c r="E48" s="13" t="str">
        <x:f>IF(D48="","",IF(AND(D48&gt;=1/9,D48&lt;=9),"ОК","Проверьте"))</x:f>
        <x:v>ОК</x:v>
      </x:c>
    </x:row>
    <x:row r="49">
      <x:c r="A49" s="13" t="str">
        <x:v>C2 Реализуемость</x:v>
      </x:c>
      <x:c r="B49" s="13" t="str">
        <x:v>A2 Учебные группы</x:v>
      </x:c>
      <x:c r="C49" s="13" t="str">
        <x:v>A4 Волонтёрские смены</x:v>
      </x:c>
      <x:c r="D49" s="14" t="n">
        <x:v>2</x:v>
      </x:c>
      <x:c r="E49" s="13" t="str">
        <x:f>IF(D49="","",IF(AND(D49&gt;=1/9,D49&lt;=9),"ОК","Проверьте"))</x:f>
        <x:v>ОК</x:v>
      </x:c>
    </x:row>
    <x:row r="50">
      <x:c r="A50" s="13" t="str">
        <x:v>C2 Реализуемость</x:v>
      </x:c>
      <x:c r="B50" s="13" t="str">
        <x:v>A3 Студенческие события</x:v>
      </x:c>
      <x:c r="C50" s="13" t="str">
        <x:v>A4 Волонтёрские смены</x:v>
      </x:c>
      <x:c r="D50" s="14" t="n">
        <x:v>2</x:v>
      </x:c>
      <x:c r="E50" s="13" t="str">
        <x:f>IF(D50="","",IF(AND(D50&gt;=1/9,D50&lt;=9),"ОК","Проверьте"))</x:f>
        <x:v>ОК</x:v>
      </x:c>
    </x:row>
    <x:row r="51">
      <x:c r="A51" s="13" t="str">
        <x:v>C3 Ясность сценариев</x:v>
      </x:c>
      <x:c r="B51" s="13" t="str">
        <x:v>A1 Бронирование помещений</x:v>
      </x:c>
      <x:c r="C51" s="13" t="str">
        <x:v>A2 Учебные группы</x:v>
      </x:c>
      <x:c r="D51" s="14" t="n">
        <x:v>3</x:v>
      </x:c>
      <x:c r="E51" s="13" t="str">
        <x:f>IF(D51="","",IF(AND(D51&gt;=1/9,D51&lt;=9),"ОК","Проверьте"))</x:f>
        <x:v>ОК</x:v>
      </x:c>
    </x:row>
    <x:row r="52">
      <x:c r="A52" s="13" t="str">
        <x:v>C3 Ясность сценариев</x:v>
      </x:c>
      <x:c r="B52" s="13" t="str">
        <x:v>A1 Бронирование помещений</x:v>
      </x:c>
      <x:c r="C52" s="13" t="str">
        <x:v>A3 Студенческие события</x:v>
      </x:c>
      <x:c r="D52" s="14" t="n">
        <x:v>1</x:v>
      </x:c>
      <x:c r="E52" s="13" t="str">
        <x:f>IF(D52="","",IF(AND(D52&gt;=1/9,D52&lt;=9),"ОК","Проверьте"))</x:f>
        <x:v>ОК</x:v>
      </x:c>
    </x:row>
    <x:row r="53">
      <x:c r="A53" s="13" t="str">
        <x:v>C3 Ясность сценариев</x:v>
      </x:c>
      <x:c r="B53" s="13" t="str">
        <x:v>A1 Бронирование помещений</x:v>
      </x:c>
      <x:c r="C53" s="13" t="str">
        <x:v>A4 Волонтёрские смены</x:v>
      </x:c>
      <x:c r="D53" s="14" t="n">
        <x:v>1</x:v>
      </x:c>
      <x:c r="E53" s="13" t="str">
        <x:f>IF(D53="","",IF(AND(D53&gt;=1/9,D53&lt;=9),"ОК","Проверьте"))</x:f>
        <x:v>ОК</x:v>
      </x:c>
    </x:row>
    <x:row r="54">
      <x:c r="A54" s="13" t="str">
        <x:v>C3 Ясность сценариев</x:v>
      </x:c>
      <x:c r="B54" s="13" t="str">
        <x:v>A2 Учебные группы</x:v>
      </x:c>
      <x:c r="C54" s="13" t="str">
        <x:v>A3 Студенческие события</x:v>
      </x:c>
      <x:c r="D54" s="14" t="n">
        <x:v>0.5</x:v>
      </x:c>
      <x:c r="E54" s="13" t="str">
        <x:f>IF(D54="","",IF(AND(D54&gt;=1/9,D54&lt;=9),"ОК","Проверьте"))</x:f>
        <x:v>ОК</x:v>
      </x:c>
    </x:row>
    <x:row r="55">
      <x:c r="A55" s="13" t="str">
        <x:v>C3 Ясность сценариев</x:v>
      </x:c>
      <x:c r="B55" s="13" t="str">
        <x:v>A2 Учебные группы</x:v>
      </x:c>
      <x:c r="C55" s="13" t="str">
        <x:v>A4 Волонтёрские смены</x:v>
      </x:c>
      <x:c r="D55" s="14" t="n">
        <x:v>0.5</x:v>
      </x:c>
      <x:c r="E55" s="13" t="str">
        <x:f>IF(D55="","",IF(AND(D55&gt;=1/9,D55&lt;=9),"ОК","Проверьте"))</x:f>
        <x:v>ОК</x:v>
      </x:c>
    </x:row>
    <x:row r="56">
      <x:c r="A56" s="13" t="str">
        <x:v>C3 Ясность сценариев</x:v>
      </x:c>
      <x:c r="B56" s="13" t="str">
        <x:v>A3 Студенческие события</x:v>
      </x:c>
      <x:c r="C56" s="13" t="str">
        <x:v>A4 Волонтёрские смены</x:v>
      </x:c>
      <x:c r="D56" s="14" t="n">
        <x:v>1</x:v>
      </x:c>
      <x:c r="E56" s="13" t="str">
        <x:f>IF(D56="","",IF(AND(D56&gt;=1/9,D56&lt;=9),"ОК","Проверьте"))</x:f>
        <x:v>ОК</x:v>
      </x:c>
    </x:row>
    <x:row r="57">
      <x:c r="A57" s="13" t="str">
        <x:v>C4 Пригодность для планирования</x:v>
      </x:c>
      <x:c r="B57" s="13" t="str">
        <x:v>A1 Бронирование помещений</x:v>
      </x:c>
      <x:c r="C57" s="13" t="str">
        <x:v>A2 Учебные группы</x:v>
      </x:c>
      <x:c r="D57" s="14" t="n">
        <x:v>2</x:v>
      </x:c>
      <x:c r="E57" s="13" t="str">
        <x:f>IF(D57="","",IF(AND(D57&gt;=1/9,D57&lt;=9),"ОК","Проверьте"))</x:f>
        <x:v>ОК</x:v>
      </x:c>
    </x:row>
    <x:row r="58">
      <x:c r="A58" s="13" t="str">
        <x:v>C4 Пригодность для планирования</x:v>
      </x:c>
      <x:c r="B58" s="13" t="str">
        <x:v>A1 Бронирование помещений</x:v>
      </x:c>
      <x:c r="C58" s="13" t="str">
        <x:v>A3 Студенческие события</x:v>
      </x:c>
      <x:c r="D58" s="14" t="n">
        <x:v>1</x:v>
      </x:c>
      <x:c r="E58" s="13" t="str">
        <x:f>IF(D58="","",IF(AND(D58&gt;=1/9,D58&lt;=9),"ОК","Проверьте"))</x:f>
        <x:v>ОК</x:v>
      </x:c>
    </x:row>
    <x:row r="59">
      <x:c r="A59" s="13" t="str">
        <x:v>C4 Пригодность для планирования</x:v>
      </x:c>
      <x:c r="B59" s="13" t="str">
        <x:v>A1 Бронирование помещений</x:v>
      </x:c>
      <x:c r="C59" s="13" t="str">
        <x:v>A4 Волонтёрские смены</x:v>
      </x:c>
      <x:c r="D59" s="14" t="n">
        <x:v>0.5</x:v>
      </x:c>
      <x:c r="E59" s="13" t="str">
        <x:f>IF(D59="","",IF(AND(D59&gt;=1/9,D59&lt;=9),"ОК","Проверьте"))</x:f>
        <x:v>ОК</x:v>
      </x:c>
    </x:row>
    <x:row r="60">
      <x:c r="A60" s="13" t="str">
        <x:v>C4 Пригодность для планирования</x:v>
      </x:c>
      <x:c r="B60" s="13" t="str">
        <x:v>A2 Учебные группы</x:v>
      </x:c>
      <x:c r="C60" s="13" t="str">
        <x:v>A3 Студенческие события</x:v>
      </x:c>
      <x:c r="D60" s="14" t="n">
        <x:v>0.5</x:v>
      </x:c>
      <x:c r="E60" s="13" t="str">
        <x:f>IF(D60="","",IF(AND(D60&gt;=1/9,D60&lt;=9),"ОК","Проверьте"))</x:f>
        <x:v>ОК</x:v>
      </x:c>
    </x:row>
    <x:row r="61">
      <x:c r="A61" s="13" t="str">
        <x:v>C4 Пригодность для планирования</x:v>
      </x:c>
      <x:c r="B61" s="13" t="str">
        <x:v>A2 Учебные группы</x:v>
      </x:c>
      <x:c r="C61" s="13" t="str">
        <x:v>A4 Волонтёрские смены</x:v>
      </x:c>
      <x:c r="D61" s="14" t="n">
        <x:v>0.3333333333333333</x:v>
      </x:c>
      <x:c r="E61" s="13" t="str">
        <x:f>IF(D61="","",IF(AND(D61&gt;=1/9,D61&lt;=9),"ОК","Проверьте"))</x:f>
        <x:v>ОК</x:v>
      </x:c>
    </x:row>
    <x:row r="62">
      <x:c r="A62" s="13" t="str">
        <x:v>C4 Пригодность для планирования</x:v>
      </x:c>
      <x:c r="B62" s="13" t="str">
        <x:v>A3 Студенческие события</x:v>
      </x:c>
      <x:c r="C62" s="13" t="str">
        <x:v>A4 Волонтёрские смены</x:v>
      </x:c>
      <x:c r="D62" s="14" t="n">
        <x:v>1</x:v>
      </x:c>
      <x:c r="E62" s="13" t="str">
        <x:f>IF(D62="","",IF(AND(D62&gt;=1/9,D62&lt;=9),"ОК","Проверьте"))</x:f>
        <x:v>ОК</x:v>
      </x:c>
    </x:row>
  </x:sheetData>
  <x:mergeCells>
    <x:mergeCell ref="A1:G1"/>
    <x:mergeCell ref="A4:G4"/>
    <x:mergeCell ref="A5:G5"/>
    <x:mergeCell ref="A29:G29"/>
    <x:mergeCell ref="A30:G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</x:cols>
  <x:sheetData>
    <x:row r="1">
      <x:c r="A1" s="10" t="str">
        <x:v>Оценки сценарного профиля M4</x:v>
      </x:c>
      <x:c r="B1" s="10"/>
      <x:c r="C1" s="10"/>
      <x:c r="D1" s="10"/>
      <x:c r="E1" s="10"/>
      <x:c r="F1" s="10"/>
      <x:c r="G1" s="10"/>
    </x:row>
    <x:row r="3">
      <x:c r="A3" t="str">
        <x:v>Сценарный профиль</x:v>
      </x:c>
      <x:c r="B3" t="str">
        <x:v>M4 — Акцент на пригодности для последующих фаз планирования</x:v>
      </x:c>
    </x:row>
    <x:row r="4">
      <x:c r="A4" t="str">
        <x:v>Сценарные исходные значения; индивидуальный опрос участников не проводился.</x:v>
      </x:c>
    </x:row>
    <x:row r="5">
      <x:c r="A5" s="6" t="str">
        <x:v>Нечёткий TOPSIS — три оценки по шкале 1–9</x:v>
      </x:c>
      <x:c r="B5" s="6"/>
      <x:c r="C5" s="6"/>
      <x:c r="D5" s="6"/>
      <x:c r="E5" s="6"/>
      <x:c r="F5" s="6"/>
      <x:c r="G5" s="6"/>
    </x:row>
    <x:row r="6">
      <x:c r="A6" s="12" t="str">
        <x:v>Тип</x:v>
      </x:c>
      <x:c r="B6" s="12" t="str">
        <x:v>Концепция</x:v>
      </x:c>
      <x:c r="C6" s="12" t="str">
        <x:v>Критерий</x:v>
      </x:c>
      <x:c r="D6" s="12" t="str">
        <x:v>Пессимистичная</x:v>
      </x:c>
      <x:c r="E6" s="12" t="str">
        <x:v>Ожидаемая</x:v>
      </x:c>
      <x:c r="F6" s="12" t="str">
        <x:v>Оптимистичная</x:v>
      </x:c>
      <x:c r="G6" s="12" t="str">
        <x:v>Проверка</x:v>
      </x:c>
    </x:row>
    <x:row r="7">
      <x:c r="A7" s="13" t="str">
        <x:v>Вес критерия</x:v>
      </x:c>
      <x:c r="B7" s="13" t="str">
        <x:v>—</x:v>
      </x:c>
      <x:c r="C7" s="13" t="str">
        <x:v>C1 Полезность</x:v>
      </x:c>
      <x:c r="D7" s="14" t="n">
        <x:v>7</x:v>
      </x:c>
      <x:c r="E7" s="14" t="n">
        <x:v>8</x:v>
      </x:c>
      <x:c r="F7" s="14" t="n">
        <x:v>9</x:v>
      </x:c>
      <x:c r="G7" s="13" t="str">
        <x:f>IF(COUNTA(D7:F7)=0,"",IF(AND(COUNT(D7:F7)=3,D7&gt;=1,F7&lt;=9,D7&lt;=E7,E7&lt;=F7),"ОК","Проверьте"))</x:f>
        <x:v>ОК</x:v>
      </x:c>
    </x:row>
    <x:row r="8">
      <x:c r="A8" s="13" t="str">
        <x:v>Вес критерия</x:v>
      </x:c>
      <x:c r="B8" s="13" t="str">
        <x:v>—</x:v>
      </x:c>
      <x:c r="C8" s="13" t="str">
        <x:v>C2 Реализуемость</x:v>
      </x:c>
      <x:c r="D8" s="14" t="n">
        <x:v>7</x:v>
      </x:c>
      <x:c r="E8" s="14" t="n">
        <x:v>8</x:v>
      </x:c>
      <x:c r="F8" s="14" t="n">
        <x:v>9</x:v>
      </x:c>
      <x:c r="G8" s="13" t="str">
        <x:f>IF(COUNTA(D8:F8)=0,"",IF(AND(COUNT(D8:F8)=3,D8&gt;=1,F8&lt;=9,D8&lt;=E8,E8&lt;=F8),"ОК","Проверьте"))</x:f>
        <x:v>ОК</x:v>
      </x:c>
    </x:row>
    <x:row r="9">
      <x:c r="A9" s="13" t="str">
        <x:v>Вес критерия</x:v>
      </x:c>
      <x:c r="B9" s="13" t="str">
        <x:v>—</x:v>
      </x:c>
      <x:c r="C9" s="13" t="str">
        <x:v>C3 Ясность сценариев</x:v>
      </x:c>
      <x:c r="D9" s="14" t="n">
        <x:v>5</x:v>
      </x:c>
      <x:c r="E9" s="14" t="n">
        <x:v>6</x:v>
      </x:c>
      <x:c r="F9" s="14" t="n">
        <x:v>7</x:v>
      </x:c>
      <x:c r="G9" s="13" t="str">
        <x:f>IF(COUNTA(D9:F9)=0,"",IF(AND(COUNT(D9:F9)=3,D9&gt;=1,F9&lt;=9,D9&lt;=E9,E9&lt;=F9),"ОК","Проверьте"))</x:f>
        <x:v>ОК</x:v>
      </x:c>
    </x:row>
    <x:row r="10">
      <x:c r="A10" s="13" t="str">
        <x:v>Вес критерия</x:v>
      </x:c>
      <x:c r="B10" s="13" t="str">
        <x:v>—</x:v>
      </x:c>
      <x:c r="C10" s="13" t="str">
        <x:v>C4 Пригодность для планирования</x:v>
      </x:c>
      <x:c r="D10" s="14" t="n">
        <x:v>8</x:v>
      </x:c>
      <x:c r="E10" s="14" t="n">
        <x:v>9</x:v>
      </x:c>
      <x:c r="F10" s="14" t="n">
        <x:v>9</x:v>
      </x:c>
      <x:c r="G10" s="13" t="str">
        <x:f>IF(COUNTA(D10:F10)=0,"",IF(AND(COUNT(D10:F10)=3,D10&gt;=1,F10&lt;=9,D10&lt;=E10,E10&lt;=F10),"ОК","Проверьте"))</x:f>
        <x:v>ОК</x:v>
      </x:c>
    </x:row>
    <x:row r="11">
      <x:c r="A11" s="13" t="str">
        <x:v>Оценка концепции</x:v>
      </x:c>
      <x:c r="B11" s="13" t="str">
        <x:v>A1 Бронирование помещений</x:v>
      </x:c>
      <x:c r="C11" s="13" t="str">
        <x:v>C1 Полезность</x:v>
      </x:c>
      <x:c r="D11" s="14" t="n">
        <x:v>6</x:v>
      </x:c>
      <x:c r="E11" s="14" t="n">
        <x:v>7</x:v>
      </x:c>
      <x:c r="F11" s="14" t="n">
        <x:v>8</x:v>
      </x:c>
      <x:c r="G11" s="13" t="str">
        <x:f>IF(COUNTA(D11:F11)=0,"",IF(AND(COUNT(D11:F11)=3,D11&gt;=1,F11&lt;=9,D11&lt;=E11,E11&lt;=F11),"ОК","Проверьте"))</x:f>
        <x:v>ОК</x:v>
      </x:c>
    </x:row>
    <x:row r="12">
      <x:c r="A12" s="13" t="str">
        <x:v>Оценка концепции</x:v>
      </x:c>
      <x:c r="B12" s="13" t="str">
        <x:v>A1 Бронирование помещений</x:v>
      </x:c>
      <x:c r="C12" s="13" t="str">
        <x:v>C2 Реализуемость</x:v>
      </x:c>
      <x:c r="D12" s="14" t="n">
        <x:v>5</x:v>
      </x:c>
      <x:c r="E12" s="14" t="n">
        <x:v>6</x:v>
      </x:c>
      <x:c r="F12" s="14" t="n">
        <x:v>7</x:v>
      </x:c>
      <x:c r="G12" s="13" t="str">
        <x:f>IF(COUNTA(D12:F12)=0,"",IF(AND(COUNT(D12:F12)=3,D12&gt;=1,F12&lt;=9,D12&lt;=E12,E12&lt;=F12),"ОК","Проверьте"))</x:f>
        <x:v>ОК</x:v>
      </x:c>
    </x:row>
    <x:row r="13">
      <x:c r="A13" s="13" t="str">
        <x:v>Оценка концепции</x:v>
      </x:c>
      <x:c r="B13" s="13" t="str">
        <x:v>A1 Бронирование помещений</x:v>
      </x:c>
      <x:c r="C13" s="13" t="str">
        <x:v>C3 Ясность сценариев</x:v>
      </x:c>
      <x:c r="D13" s="14" t="n">
        <x:v>7</x:v>
      </x:c>
      <x:c r="E13" s="14" t="n">
        <x:v>8</x:v>
      </x:c>
      <x:c r="F13" s="14" t="n">
        <x:v>9</x:v>
      </x:c>
      <x:c r="G13" s="13" t="str">
        <x:f>IF(COUNTA(D13:F13)=0,"",IF(AND(COUNT(D13:F13)=3,D13&gt;=1,F13&lt;=9,D13&lt;=E13,E13&lt;=F13),"ОК","Проверьте"))</x:f>
        <x:v>ОК</x:v>
      </x:c>
    </x:row>
    <x:row r="14">
      <x:c r="A14" s="13" t="str">
        <x:v>Оценка концепции</x:v>
      </x:c>
      <x:c r="B14" s="13" t="str">
        <x:v>A1 Бронирование помещений</x:v>
      </x:c>
      <x:c r="C14" s="13" t="str">
        <x:v>C4 Пригодность для планирования</x:v>
      </x:c>
      <x:c r="D14" s="14" t="n">
        <x:v>6</x:v>
      </x:c>
      <x:c r="E14" s="14" t="n">
        <x:v>7</x:v>
      </x:c>
      <x:c r="F14" s="14" t="n">
        <x:v>8</x:v>
      </x:c>
      <x:c r="G14" s="13" t="str">
        <x:f>IF(COUNTA(D14:F14)=0,"",IF(AND(COUNT(D14:F14)=3,D14&gt;=1,F14&lt;=9,D14&lt;=E14,E14&lt;=F14),"ОК","Проверьте"))</x:f>
        <x:v>ОК</x:v>
      </x:c>
    </x:row>
    <x:row r="15">
      <x:c r="A15" s="13" t="str">
        <x:v>Оценка концепции</x:v>
      </x:c>
      <x:c r="B15" s="13" t="str">
        <x:v>A2 Учебные группы</x:v>
      </x:c>
      <x:c r="C15" s="13" t="str">
        <x:v>C1 Полезность</x:v>
      </x:c>
      <x:c r="D15" s="14" t="n">
        <x:v>6</x:v>
      </x:c>
      <x:c r="E15" s="14" t="n">
        <x:v>7</x:v>
      </x:c>
      <x:c r="F15" s="14" t="n">
        <x:v>8</x:v>
      </x:c>
      <x:c r="G15" s="13" t="str">
        <x:f>IF(COUNTA(D15:F15)=0,"",IF(AND(COUNT(D15:F15)=3,D15&gt;=1,F15&lt;=9,D15&lt;=E15,E15&lt;=F15),"ОК","Проверьте"))</x:f>
        <x:v>ОК</x:v>
      </x:c>
    </x:row>
    <x:row r="16">
      <x:c r="A16" s="13" t="str">
        <x:v>Оценка концепции</x:v>
      </x:c>
      <x:c r="B16" s="13" t="str">
        <x:v>A2 Учебные группы</x:v>
      </x:c>
      <x:c r="C16" s="13" t="str">
        <x:v>C2 Реализуемость</x:v>
      </x:c>
      <x:c r="D16" s="14" t="n">
        <x:v>7</x:v>
      </x:c>
      <x:c r="E16" s="14" t="n">
        <x:v>8</x:v>
      </x:c>
      <x:c r="F16" s="14" t="n">
        <x:v>9</x:v>
      </x:c>
      <x:c r="G16" s="13" t="str">
        <x:f>IF(COUNTA(D16:F16)=0,"",IF(AND(COUNT(D16:F16)=3,D16&gt;=1,F16&lt;=9,D16&lt;=E16,E16&lt;=F16),"ОК","Проверьте"))</x:f>
        <x:v>ОК</x:v>
      </x:c>
    </x:row>
    <x:row r="17">
      <x:c r="A17" s="13" t="str">
        <x:v>Оценка концепции</x:v>
      </x:c>
      <x:c r="B17" s="13" t="str">
        <x:v>A2 Учебные группы</x:v>
      </x:c>
      <x:c r="C17" s="13" t="str">
        <x:v>C3 Ясность сценариев</x:v>
      </x:c>
      <x:c r="D17" s="14" t="n">
        <x:v>6</x:v>
      </x:c>
      <x:c r="E17" s="14" t="n">
        <x:v>7</x:v>
      </x:c>
      <x:c r="F17" s="14" t="n">
        <x:v>8</x:v>
      </x:c>
      <x:c r="G17" s="13" t="str">
        <x:f>IF(COUNTA(D17:F17)=0,"",IF(AND(COUNT(D17:F17)=3,D17&gt;=1,F17&lt;=9,D17&lt;=E17,E17&lt;=F17),"ОК","Проверьте"))</x:f>
        <x:v>ОК</x:v>
      </x:c>
    </x:row>
    <x:row r="18">
      <x:c r="A18" s="13" t="str">
        <x:v>Оценка концепции</x:v>
      </x:c>
      <x:c r="B18" s="13" t="str">
        <x:v>A2 Учебные группы</x:v>
      </x:c>
      <x:c r="C18" s="13" t="str">
        <x:v>C4 Пригодность для планирования</x:v>
      </x:c>
      <x:c r="D18" s="14" t="n">
        <x:v>5</x:v>
      </x:c>
      <x:c r="E18" s="14" t="n">
        <x:v>6</x:v>
      </x:c>
      <x:c r="F18" s="14" t="n">
        <x:v>7</x:v>
      </x:c>
      <x:c r="G18" s="13" t="str">
        <x:f>IF(COUNTA(D18:F18)=0,"",IF(AND(COUNT(D18:F18)=3,D18&gt;=1,F18&lt;=9,D18&lt;=E18,E18&lt;=F18),"ОК","Проверьте"))</x:f>
        <x:v>ОК</x:v>
      </x:c>
    </x:row>
    <x:row r="19">
      <x:c r="A19" s="13" t="str">
        <x:v>Оценка концепции</x:v>
      </x:c>
      <x:c r="B19" s="13" t="str">
        <x:v>A3 Студенческие события</x:v>
      </x:c>
      <x:c r="C19" s="13" t="str">
        <x:v>C1 Полезность</x:v>
      </x:c>
      <x:c r="D19" s="14" t="n">
        <x:v>7</x:v>
      </x:c>
      <x:c r="E19" s="14" t="n">
        <x:v>8</x:v>
      </x:c>
      <x:c r="F19" s="14" t="n">
        <x:v>9</x:v>
      </x:c>
      <x:c r="G19" s="13" t="str">
        <x:f>IF(COUNTA(D19:F19)=0,"",IF(AND(COUNT(D19:F19)=3,D19&gt;=1,F19&lt;=9,D19&lt;=E19,E19&lt;=F19),"ОК","Проверьте"))</x:f>
        <x:v>ОК</x:v>
      </x:c>
    </x:row>
    <x:row r="20">
      <x:c r="A20" s="13" t="str">
        <x:v>Оценка концепции</x:v>
      </x:c>
      <x:c r="B20" s="13" t="str">
        <x:v>A3 Студенческие события</x:v>
      </x:c>
      <x:c r="C20" s="13" t="str">
        <x:v>C2 Реализуемость</x:v>
      </x:c>
      <x:c r="D20" s="14" t="n">
        <x:v>6</x:v>
      </x:c>
      <x:c r="E20" s="14" t="n">
        <x:v>7</x:v>
      </x:c>
      <x:c r="F20" s="14" t="n">
        <x:v>8</x:v>
      </x:c>
      <x:c r="G20" s="13" t="str">
        <x:f>IF(COUNTA(D20:F20)=0,"",IF(AND(COUNT(D20:F20)=3,D20&gt;=1,F20&lt;=9,D20&lt;=E20,E20&lt;=F20),"ОК","Проверьте"))</x:f>
        <x:v>ОК</x:v>
      </x:c>
    </x:row>
    <x:row r="21">
      <x:c r="A21" s="13" t="str">
        <x:v>Оценка концепции</x:v>
      </x:c>
      <x:c r="B21" s="13" t="str">
        <x:v>A3 Студенческие события</x:v>
      </x:c>
      <x:c r="C21" s="13" t="str">
        <x:v>C3 Ясность сценариев</x:v>
      </x:c>
      <x:c r="D21" s="14" t="n">
        <x:v>8</x:v>
      </x:c>
      <x:c r="E21" s="14" t="n">
        <x:v>9</x:v>
      </x:c>
      <x:c r="F21" s="14" t="n">
        <x:v>9</x:v>
      </x:c>
      <x:c r="G21" s="13" t="str">
        <x:f>IF(COUNTA(D21:F21)=0,"",IF(AND(COUNT(D21:F21)=3,D21&gt;=1,F21&lt;=9,D21&lt;=E21,E21&lt;=F21),"ОК","Проверьте"))</x:f>
        <x:v>ОК</x:v>
      </x:c>
    </x:row>
    <x:row r="22">
      <x:c r="A22" s="13" t="str">
        <x:v>Оценка концепции</x:v>
      </x:c>
      <x:c r="B22" s="13" t="str">
        <x:v>A3 Студенческие события</x:v>
      </x:c>
      <x:c r="C22" s="13" t="str">
        <x:v>C4 Пригодность для планирования</x:v>
      </x:c>
      <x:c r="D22" s="14" t="n">
        <x:v>7</x:v>
      </x:c>
      <x:c r="E22" s="14" t="n">
        <x:v>8</x:v>
      </x:c>
      <x:c r="F22" s="14" t="n">
        <x:v>9</x:v>
      </x:c>
      <x:c r="G22" s="13" t="str">
        <x:f>IF(COUNTA(D22:F22)=0,"",IF(AND(COUNT(D22:F22)=3,D22&gt;=1,F22&lt;=9,D22&lt;=E22,E22&lt;=F22),"ОК","Проверьте"))</x:f>
        <x:v>ОК</x:v>
      </x:c>
    </x:row>
    <x:row r="23">
      <x:c r="A23" s="13" t="str">
        <x:v>Оценка концепции</x:v>
      </x:c>
      <x:c r="B23" s="13" t="str">
        <x:v>A4 Волонтёрские смены</x:v>
      </x:c>
      <x:c r="C23" s="13" t="str">
        <x:v>C1 Полезность</x:v>
      </x:c>
      <x:c r="D23" s="14" t="n">
        <x:v>7</x:v>
      </x:c>
      <x:c r="E23" s="14" t="n">
        <x:v>8</x:v>
      </x:c>
      <x:c r="F23" s="14" t="n">
        <x:v>9</x:v>
      </x:c>
      <x:c r="G23" s="13" t="str">
        <x:f>IF(COUNTA(D23:F23)=0,"",IF(AND(COUNT(D23:F23)=3,D23&gt;=1,F23&lt;=9,D23&lt;=E23,E23&lt;=F23),"ОК","Проверьте"))</x:f>
        <x:v>ОК</x:v>
      </x:c>
    </x:row>
    <x:row r="24">
      <x:c r="A24" s="13" t="str">
        <x:v>Оценка концепции</x:v>
      </x:c>
      <x:c r="B24" s="13" t="str">
        <x:v>A4 Волонтёрские смены</x:v>
      </x:c>
      <x:c r="C24" s="13" t="str">
        <x:v>C2 Реализуемость</x:v>
      </x:c>
      <x:c r="D24" s="14" t="n">
        <x:v>5</x:v>
      </x:c>
      <x:c r="E24" s="14" t="n">
        <x:v>6</x:v>
      </x:c>
      <x:c r="F24" s="14" t="n">
        <x:v>7</x:v>
      </x:c>
      <x:c r="G24" s="13" t="str">
        <x:f>IF(COUNTA(D24:F24)=0,"",IF(AND(COUNT(D24:F24)=3,D24&gt;=1,F24&lt;=9,D24&lt;=E24,E24&lt;=F24),"ОК","Проверьте"))</x:f>
        <x:v>ОК</x:v>
      </x:c>
    </x:row>
    <x:row r="25">
      <x:c r="A25" s="13" t="str">
        <x:v>Оценка концепции</x:v>
      </x:c>
      <x:c r="B25" s="13" t="str">
        <x:v>A4 Волонтёрские смены</x:v>
      </x:c>
      <x:c r="C25" s="13" t="str">
        <x:v>C3 Ясность сценариев</x:v>
      </x:c>
      <x:c r="D25" s="14" t="n">
        <x:v>6</x:v>
      </x:c>
      <x:c r="E25" s="14" t="n">
        <x:v>7</x:v>
      </x:c>
      <x:c r="F25" s="14" t="n">
        <x:v>8</x:v>
      </x:c>
      <x:c r="G25" s="13" t="str">
        <x:f>IF(COUNTA(D25:F25)=0,"",IF(AND(COUNT(D25:F25)=3,D25&gt;=1,F25&lt;=9,D25&lt;=E25,E25&lt;=F25),"ОК","Проверьте"))</x:f>
        <x:v>ОК</x:v>
      </x:c>
    </x:row>
    <x:row r="26">
      <x:c r="A26" s="13" t="str">
        <x:v>Оценка концепции</x:v>
      </x:c>
      <x:c r="B26" s="13" t="str">
        <x:v>A4 Волонтёрские смены</x:v>
      </x:c>
      <x:c r="C26" s="13" t="str">
        <x:v>C4 Пригодность для планирования</x:v>
      </x:c>
      <x:c r="D26" s="14" t="n">
        <x:v>8</x:v>
      </x:c>
      <x:c r="E26" s="14" t="n">
        <x:v>9</x:v>
      </x:c>
      <x:c r="F26" s="14" t="n">
        <x:v>9</x:v>
      </x:c>
      <x:c r="G26" s="13" t="str">
        <x:f>IF(COUNTA(D26:F26)=0,"",IF(AND(COUNT(D26:F26)=3,D26&gt;=1,F26&lt;=9,D26&lt;=E26,E26&lt;=F26),"ОК","Проверьте"))</x:f>
        <x:v>ОК</x:v>
      </x:c>
    </x:row>
    <x:row r="29">
      <x:c r="A29" s="6" t="str">
        <x:v>Чёткий МАИ — парные сравнения</x:v>
      </x:c>
      <x:c r="B29" s="6"/>
      <x:c r="C29" s="6"/>
      <x:c r="D29" s="6"/>
      <x:c r="E29" s="6"/>
      <x:c r="F29" s="6"/>
      <x:c r="G29" s="6"/>
    </x:row>
    <x:row r="30">
      <x:c r="A30" t="str">
        <x:v>Столбец D: предпочтение первого элемента относительно второго, от 1/9 до 9.</x:v>
      </x:c>
    </x:row>
    <x:row r="32">
      <x:c r="A32" s="12" t="str">
        <x:v>Матрица</x:v>
      </x:c>
      <x:c r="B32" s="12" t="str">
        <x:v>Первый элемент</x:v>
      </x:c>
      <x:c r="C32" s="12" t="str">
        <x:v>Второй элемент</x:v>
      </x:c>
      <x:c r="D32" s="12" t="str">
        <x:v>Оценка</x:v>
      </x:c>
      <x:c r="E32" s="13" t="str">
        <x:v>Проверка</x:v>
      </x:c>
    </x:row>
    <x:row r="33">
      <x:c r="A33" s="13" t="str">
        <x:v>Критерии</x:v>
      </x:c>
      <x:c r="B33" s="13" t="str">
        <x:v>C1 Полезность</x:v>
      </x:c>
      <x:c r="C33" s="13" t="str">
        <x:v>C2 Реализуемость</x:v>
      </x:c>
      <x:c r="D33" s="14" t="n">
        <x:v>1</x:v>
      </x:c>
      <x:c r="E33" s="13" t="str">
        <x:f>IF(D33="","",IF(AND(D33&gt;=1/9,D33&lt;=9),"ОК","Проверьте"))</x:f>
        <x:v>ОК</x:v>
      </x:c>
    </x:row>
    <x:row r="34">
      <x:c r="A34" s="13" t="str">
        <x:v>Критерии</x:v>
      </x:c>
      <x:c r="B34" s="13" t="str">
        <x:v>C1 Полезность</x:v>
      </x:c>
      <x:c r="C34" s="13" t="str">
        <x:v>C3 Ясность сценариев</x:v>
      </x:c>
      <x:c r="D34" s="14" t="n">
        <x:v>2</x:v>
      </x:c>
      <x:c r="E34" s="13" t="str">
        <x:f>IF(D34="","",IF(AND(D34&gt;=1/9,D34&lt;=9),"ОК","Проверьте"))</x:f>
        <x:v>ОК</x:v>
      </x:c>
    </x:row>
    <x:row r="35">
      <x:c r="A35" s="13" t="str">
        <x:v>Критерии</x:v>
      </x:c>
      <x:c r="B35" s="13" t="str">
        <x:v>C1 Полезность</x:v>
      </x:c>
      <x:c r="C35" s="13" t="str">
        <x:v>C4 Пригодность для планирования</x:v>
      </x:c>
      <x:c r="D35" s="14" t="n">
        <x:v>1</x:v>
      </x:c>
      <x:c r="E35" s="13" t="str">
        <x:f>IF(D35="","",IF(AND(D35&gt;=1/9,D35&lt;=9),"ОК","Проверьте"))</x:f>
        <x:v>ОК</x:v>
      </x:c>
    </x:row>
    <x:row r="36">
      <x:c r="A36" s="13" t="str">
        <x:v>Критерии</x:v>
      </x:c>
      <x:c r="B36" s="13" t="str">
        <x:v>C2 Реализуемость</x:v>
      </x:c>
      <x:c r="C36" s="13" t="str">
        <x:v>C3 Ясность сценариев</x:v>
      </x:c>
      <x:c r="D36" s="14" t="n">
        <x:v>2</x:v>
      </x:c>
      <x:c r="E36" s="13" t="str">
        <x:f>IF(D36="","",IF(AND(D36&gt;=1/9,D36&lt;=9),"ОК","Проверьте"))</x:f>
        <x:v>ОК</x:v>
      </x:c>
    </x:row>
    <x:row r="37">
      <x:c r="A37" s="13" t="str">
        <x:v>Критерии</x:v>
      </x:c>
      <x:c r="B37" s="13" t="str">
        <x:v>C2 Реализуемость</x:v>
      </x:c>
      <x:c r="C37" s="13" t="str">
        <x:v>C4 Пригодность для планирования</x:v>
      </x:c>
      <x:c r="D37" s="14" t="n">
        <x:v>1</x:v>
      </x:c>
      <x:c r="E37" s="13" t="str">
        <x:f>IF(D37="","",IF(AND(D37&gt;=1/9,D37&lt;=9),"ОК","Проверьте"))</x:f>
        <x:v>ОК</x:v>
      </x:c>
    </x:row>
    <x:row r="38">
      <x:c r="A38" s="13" t="str">
        <x:v>Критерии</x:v>
      </x:c>
      <x:c r="B38" s="13" t="str">
        <x:v>C3 Ясность сценариев</x:v>
      </x:c>
      <x:c r="C38" s="13" t="str">
        <x:v>C4 Пригодность для планирования</x:v>
      </x:c>
      <x:c r="D38" s="14" t="n">
        <x:v>0.3333333333333333</x:v>
      </x:c>
      <x:c r="E38" s="13" t="str">
        <x:f>IF(D38="","",IF(AND(D38&gt;=1/9,D38&lt;=9),"ОК","Проверьте"))</x:f>
        <x:v>ОК</x:v>
      </x:c>
    </x:row>
    <x:row r="39">
      <x:c r="A39" s="13" t="str">
        <x:v>C1 Полезность</x:v>
      </x:c>
      <x:c r="B39" s="13" t="str">
        <x:v>A1 Бронирование помещений</x:v>
      </x:c>
      <x:c r="C39" s="13" t="str">
        <x:v>A2 Учебные группы</x:v>
      </x:c>
      <x:c r="D39" s="14" t="n">
        <x:v>1</x:v>
      </x:c>
      <x:c r="E39" s="13" t="str">
        <x:f>IF(D39="","",IF(AND(D39&gt;=1/9,D39&lt;=9),"ОК","Проверьте"))</x:f>
        <x:v>ОК</x:v>
      </x:c>
    </x:row>
    <x:row r="40">
      <x:c r="A40" s="13" t="str">
        <x:v>C1 Полезность</x:v>
      </x:c>
      <x:c r="B40" s="13" t="str">
        <x:v>A1 Бронирование помещений</x:v>
      </x:c>
      <x:c r="C40" s="13" t="str">
        <x:v>A3 Студенческие события</x:v>
      </x:c>
      <x:c r="D40" s="14" t="n">
        <x:v>0.5</x:v>
      </x:c>
      <x:c r="E40" s="13" t="str">
        <x:f>IF(D40="","",IF(AND(D40&gt;=1/9,D40&lt;=9),"ОК","Проверьте"))</x:f>
        <x:v>ОК</x:v>
      </x:c>
    </x:row>
    <x:row r="41">
      <x:c r="A41" s="13" t="str">
        <x:v>C1 Полезность</x:v>
      </x:c>
      <x:c r="B41" s="13" t="str">
        <x:v>A1 Бронирование помещений</x:v>
      </x:c>
      <x:c r="C41" s="13" t="str">
        <x:v>A4 Волонтёрские смены</x:v>
      </x:c>
      <x:c r="D41" s="14" t="n">
        <x:v>1</x:v>
      </x:c>
      <x:c r="E41" s="13" t="str">
        <x:f>IF(D41="","",IF(AND(D41&gt;=1/9,D41&lt;=9),"ОК","Проверьте"))</x:f>
        <x:v>ОК</x:v>
      </x:c>
    </x:row>
    <x:row r="42">
      <x:c r="A42" s="13" t="str">
        <x:v>C1 Полезность</x:v>
      </x:c>
      <x:c r="B42" s="13" t="str">
        <x:v>A2 Учебные группы</x:v>
      </x:c>
      <x:c r="C42" s="13" t="str">
        <x:v>A3 Студенческие события</x:v>
      </x:c>
      <x:c r="D42" s="14" t="n">
        <x:v>0.5</x:v>
      </x:c>
      <x:c r="E42" s="13" t="str">
        <x:f>IF(D42="","",IF(AND(D42&gt;=1/9,D42&lt;=9),"ОК","Проверьте"))</x:f>
        <x:v>ОК</x:v>
      </x:c>
    </x:row>
    <x:row r="43">
      <x:c r="A43" s="13" t="str">
        <x:v>C1 Полезность</x:v>
      </x:c>
      <x:c r="B43" s="13" t="str">
        <x:v>A2 Учебные группы</x:v>
      </x:c>
      <x:c r="C43" s="13" t="str">
        <x:v>A4 Волонтёрские смены</x:v>
      </x:c>
      <x:c r="D43" s="14" t="n">
        <x:v>1</x:v>
      </x:c>
      <x:c r="E43" s="13" t="str">
        <x:f>IF(D43="","",IF(AND(D43&gt;=1/9,D43&lt;=9),"ОК","Проверьте"))</x:f>
        <x:v>ОК</x:v>
      </x:c>
    </x:row>
    <x:row r="44">
      <x:c r="A44" s="13" t="str">
        <x:v>C1 Полезность</x:v>
      </x:c>
      <x:c r="B44" s="13" t="str">
        <x:v>A3 Студенческие события</x:v>
      </x:c>
      <x:c r="C44" s="13" t="str">
        <x:v>A4 Волонтёрские смены</x:v>
      </x:c>
      <x:c r="D44" s="14" t="n">
        <x:v>1</x:v>
      </x:c>
      <x:c r="E44" s="13" t="str">
        <x:f>IF(D44="","",IF(AND(D44&gt;=1/9,D44&lt;=9),"ОК","Проверьте"))</x:f>
        <x:v>ОК</x:v>
      </x:c>
    </x:row>
    <x:row r="45">
      <x:c r="A45" s="13" t="str">
        <x:v>C2 Реализуемость</x:v>
      </x:c>
      <x:c r="B45" s="13" t="str">
        <x:v>A1 Бронирование помещений</x:v>
      </x:c>
      <x:c r="C45" s="13" t="str">
        <x:v>A2 Учебные группы</x:v>
      </x:c>
      <x:c r="D45" s="14" t="n">
        <x:v>0.5</x:v>
      </x:c>
      <x:c r="E45" s="13" t="str">
        <x:f>IF(D45="","",IF(AND(D45&gt;=1/9,D45&lt;=9),"ОК","Проверьте"))</x:f>
        <x:v>ОК</x:v>
      </x:c>
    </x:row>
    <x:row r="46">
      <x:c r="A46" s="13" t="str">
        <x:v>C2 Реализуемость</x:v>
      </x:c>
      <x:c r="B46" s="13" t="str">
        <x:v>A1 Бронирование помещений</x:v>
      </x:c>
      <x:c r="C46" s="13" t="str">
        <x:v>A3 Студенческие события</x:v>
      </x:c>
      <x:c r="D46" s="14" t="n">
        <x:v>1</x:v>
      </x:c>
      <x:c r="E46" s="13" t="str">
        <x:f>IF(D46="","",IF(AND(D46&gt;=1/9,D46&lt;=9),"ОК","Проверьте"))</x:f>
        <x:v>ОК</x:v>
      </x:c>
    </x:row>
    <x:row r="47">
      <x:c r="A47" s="13" t="str">
        <x:v>C2 Реализуемость</x:v>
      </x:c>
      <x:c r="B47" s="13" t="str">
        <x:v>A1 Бронирование помещений</x:v>
      </x:c>
      <x:c r="C47" s="13" t="str">
        <x:v>A4 Волонтёрские смены</x:v>
      </x:c>
      <x:c r="D47" s="14" t="n">
        <x:v>1</x:v>
      </x:c>
      <x:c r="E47" s="13" t="str">
        <x:f>IF(D47="","",IF(AND(D47&gt;=1/9,D47&lt;=9),"ОК","Проверьте"))</x:f>
        <x:v>ОК</x:v>
      </x:c>
    </x:row>
    <x:row r="48">
      <x:c r="A48" s="13" t="str">
        <x:v>C2 Реализуемость</x:v>
      </x:c>
      <x:c r="B48" s="13" t="str">
        <x:v>A2 Учебные группы</x:v>
      </x:c>
      <x:c r="C48" s="13" t="str">
        <x:v>A3 Студенческие события</x:v>
      </x:c>
      <x:c r="D48" s="14" t="n">
        <x:v>1</x:v>
      </x:c>
      <x:c r="E48" s="13" t="str">
        <x:f>IF(D48="","",IF(AND(D48&gt;=1/9,D48&lt;=9),"ОК","Проверьте"))</x:f>
        <x:v>ОК</x:v>
      </x:c>
    </x:row>
    <x:row r="49">
      <x:c r="A49" s="13" t="str">
        <x:v>C2 Реализуемость</x:v>
      </x:c>
      <x:c r="B49" s="13" t="str">
        <x:v>A2 Учебные группы</x:v>
      </x:c>
      <x:c r="C49" s="13" t="str">
        <x:v>A4 Волонтёрские смены</x:v>
      </x:c>
      <x:c r="D49" s="14" t="n">
        <x:v>2</x:v>
      </x:c>
      <x:c r="E49" s="13" t="str">
        <x:f>IF(D49="","",IF(AND(D49&gt;=1/9,D49&lt;=9),"ОК","Проверьте"))</x:f>
        <x:v>ОК</x:v>
      </x:c>
    </x:row>
    <x:row r="50">
      <x:c r="A50" s="13" t="str">
        <x:v>C2 Реализуемость</x:v>
      </x:c>
      <x:c r="B50" s="13" t="str">
        <x:v>A3 Студенческие события</x:v>
      </x:c>
      <x:c r="C50" s="13" t="str">
        <x:v>A4 Волонтёрские смены</x:v>
      </x:c>
      <x:c r="D50" s="14" t="n">
        <x:v>1</x:v>
      </x:c>
      <x:c r="E50" s="13" t="str">
        <x:f>IF(D50="","",IF(AND(D50&gt;=1/9,D50&lt;=9),"ОК","Проверьте"))</x:f>
        <x:v>ОК</x:v>
      </x:c>
    </x:row>
    <x:row r="51">
      <x:c r="A51" s="13" t="str">
        <x:v>C3 Ясность сценариев</x:v>
      </x:c>
      <x:c r="B51" s="13" t="str">
        <x:v>A1 Бронирование помещений</x:v>
      </x:c>
      <x:c r="C51" s="13" t="str">
        <x:v>A2 Учебные группы</x:v>
      </x:c>
      <x:c r="D51" s="14" t="n">
        <x:v>1</x:v>
      </x:c>
      <x:c r="E51" s="13" t="str">
        <x:f>IF(D51="","",IF(AND(D51&gt;=1/9,D51&lt;=9),"ОК","Проверьте"))</x:f>
        <x:v>ОК</x:v>
      </x:c>
    </x:row>
    <x:row r="52">
      <x:c r="A52" s="13" t="str">
        <x:v>C3 Ясность сценариев</x:v>
      </x:c>
      <x:c r="B52" s="13" t="str">
        <x:v>A1 Бронирование помещений</x:v>
      </x:c>
      <x:c r="C52" s="13" t="str">
        <x:v>A3 Студенческие события</x:v>
      </x:c>
      <x:c r="D52" s="14" t="n">
        <x:v>1</x:v>
      </x:c>
      <x:c r="E52" s="13" t="str">
        <x:f>IF(D52="","",IF(AND(D52&gt;=1/9,D52&lt;=9),"ОК","Проверьте"))</x:f>
        <x:v>ОК</x:v>
      </x:c>
    </x:row>
    <x:row r="53">
      <x:c r="A53" s="13" t="str">
        <x:v>C3 Ясность сценариев</x:v>
      </x:c>
      <x:c r="B53" s="13" t="str">
        <x:v>A1 Бронирование помещений</x:v>
      </x:c>
      <x:c r="C53" s="13" t="str">
        <x:v>A4 Волонтёрские смены</x:v>
      </x:c>
      <x:c r="D53" s="14" t="n">
        <x:v>1</x:v>
      </x:c>
      <x:c r="E53" s="13" t="str">
        <x:f>IF(D53="","",IF(AND(D53&gt;=1/9,D53&lt;=9),"ОК","Проверьте"))</x:f>
        <x:v>ОК</x:v>
      </x:c>
    </x:row>
    <x:row r="54">
      <x:c r="A54" s="13" t="str">
        <x:v>C3 Ясность сценариев</x:v>
      </x:c>
      <x:c r="B54" s="13" t="str">
        <x:v>A2 Учебные группы</x:v>
      </x:c>
      <x:c r="C54" s="13" t="str">
        <x:v>A3 Студенческие события</x:v>
      </x:c>
      <x:c r="D54" s="14" t="n">
        <x:v>0.5</x:v>
      </x:c>
      <x:c r="E54" s="13" t="str">
        <x:f>IF(D54="","",IF(AND(D54&gt;=1/9,D54&lt;=9),"ОК","Проверьте"))</x:f>
        <x:v>ОК</x:v>
      </x:c>
    </x:row>
    <x:row r="55">
      <x:c r="A55" s="13" t="str">
        <x:v>C3 Ясность сценариев</x:v>
      </x:c>
      <x:c r="B55" s="13" t="str">
        <x:v>A2 Учебные группы</x:v>
      </x:c>
      <x:c r="C55" s="13" t="str">
        <x:v>A4 Волонтёрские смены</x:v>
      </x:c>
      <x:c r="D55" s="14" t="n">
        <x:v>1</x:v>
      </x:c>
      <x:c r="E55" s="13" t="str">
        <x:f>IF(D55="","",IF(AND(D55&gt;=1/9,D55&lt;=9),"ОК","Проверьте"))</x:f>
        <x:v>ОК</x:v>
      </x:c>
    </x:row>
    <x:row r="56">
      <x:c r="A56" s="13" t="str">
        <x:v>C3 Ясность сценариев</x:v>
      </x:c>
      <x:c r="B56" s="13" t="str">
        <x:v>A3 Студенческие события</x:v>
      </x:c>
      <x:c r="C56" s="13" t="str">
        <x:v>A4 Волонтёрские смены</x:v>
      </x:c>
      <x:c r="D56" s="14" t="n">
        <x:v>2</x:v>
      </x:c>
      <x:c r="E56" s="13" t="str">
        <x:f>IF(D56="","",IF(AND(D56&gt;=1/9,D56&lt;=9),"ОК","Проверьте"))</x:f>
        <x:v>ОК</x:v>
      </x:c>
    </x:row>
    <x:row r="57">
      <x:c r="A57" s="13" t="str">
        <x:v>C4 Пригодность для планирования</x:v>
      </x:c>
      <x:c r="B57" s="13" t="str">
        <x:v>A1 Бронирование помещений</x:v>
      </x:c>
      <x:c r="C57" s="13" t="str">
        <x:v>A2 Учебные группы</x:v>
      </x:c>
      <x:c r="D57" s="14" t="n">
        <x:v>2</x:v>
      </x:c>
      <x:c r="E57" s="13" t="str">
        <x:f>IF(D57="","",IF(AND(D57&gt;=1/9,D57&lt;=9),"ОК","Проверьте"))</x:f>
        <x:v>ОК</x:v>
      </x:c>
    </x:row>
    <x:row r="58">
      <x:c r="A58" s="13" t="str">
        <x:v>C4 Пригодность для планирования</x:v>
      </x:c>
      <x:c r="B58" s="13" t="str">
        <x:v>A1 Бронирование помещений</x:v>
      </x:c>
      <x:c r="C58" s="13" t="str">
        <x:v>A3 Студенческие события</x:v>
      </x:c>
      <x:c r="D58" s="14" t="n">
        <x:v>1</x:v>
      </x:c>
      <x:c r="E58" s="13" t="str">
        <x:f>IF(D58="","",IF(AND(D58&gt;=1/9,D58&lt;=9),"ОК","Проверьте"))</x:f>
        <x:v>ОК</x:v>
      </x:c>
    </x:row>
    <x:row r="59">
      <x:c r="A59" s="13" t="str">
        <x:v>C4 Пригодность для планирования</x:v>
      </x:c>
      <x:c r="B59" s="13" t="str">
        <x:v>A1 Бронирование помещений</x:v>
      </x:c>
      <x:c r="C59" s="13" t="str">
        <x:v>A4 Волонтёрские смены</x:v>
      </x:c>
      <x:c r="D59" s="14" t="n">
        <x:v>0.5</x:v>
      </x:c>
      <x:c r="E59" s="13" t="str">
        <x:f>IF(D59="","",IF(AND(D59&gt;=1/9,D59&lt;=9),"ОК","Проверьте"))</x:f>
        <x:v>ОК</x:v>
      </x:c>
    </x:row>
    <x:row r="60">
      <x:c r="A60" s="13" t="str">
        <x:v>C4 Пригодность для планирования</x:v>
      </x:c>
      <x:c r="B60" s="13" t="str">
        <x:v>A2 Учебные группы</x:v>
      </x:c>
      <x:c r="C60" s="13" t="str">
        <x:v>A3 Студенческие события</x:v>
      </x:c>
      <x:c r="D60" s="14" t="n">
        <x:v>0.5</x:v>
      </x:c>
      <x:c r="E60" s="13" t="str">
        <x:f>IF(D60="","",IF(AND(D60&gt;=1/9,D60&lt;=9),"ОК","Проверьте"))</x:f>
        <x:v>ОК</x:v>
      </x:c>
    </x:row>
    <x:row r="61">
      <x:c r="A61" s="13" t="str">
        <x:v>C4 Пригодность для планирования</x:v>
      </x:c>
      <x:c r="B61" s="13" t="str">
        <x:v>A2 Учебные группы</x:v>
      </x:c>
      <x:c r="C61" s="13" t="str">
        <x:v>A4 Волонтёрские смены</x:v>
      </x:c>
      <x:c r="D61" s="14" t="n">
        <x:v>0.3333333333333333</x:v>
      </x:c>
      <x:c r="E61" s="13" t="str">
        <x:f>IF(D61="","",IF(AND(D61&gt;=1/9,D61&lt;=9),"ОК","Проверьте"))</x:f>
        <x:v>ОК</x:v>
      </x:c>
    </x:row>
    <x:row r="62">
      <x:c r="A62" s="13" t="str">
        <x:v>C4 Пригодность для планирования</x:v>
      </x:c>
      <x:c r="B62" s="13" t="str">
        <x:v>A3 Студенческие события</x:v>
      </x:c>
      <x:c r="C62" s="13" t="str">
        <x:v>A4 Волонтёрские смены</x:v>
      </x:c>
      <x:c r="D62" s="14" t="n">
        <x:v>1</x:v>
      </x:c>
      <x:c r="E62" s="13" t="str">
        <x:f>IF(D62="","",IF(AND(D62&gt;=1/9,D62&lt;=9),"ОК","Проверьте"))</x:f>
        <x:v>ОК</x:v>
      </x:c>
    </x:row>
  </x:sheetData>
  <x:mergeCells>
    <x:mergeCell ref="A1:G1"/>
    <x:mergeCell ref="A4:G4"/>
    <x:mergeCell ref="A5:G5"/>
    <x:mergeCell ref="A29:G29"/>
    <x:mergeCell ref="A30:G30"/>
  </x:mergeCells>
  <x:pageMargins left="0.7" right="0.7" top="0.75" bottom="0.75" header="0.3" footer="0.3"/>
</x:worksheet>
</file>