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21a9ce4e046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ценки" sheetId="1" r:id="R5a8c291c503849f1"/>
    <x:sheet xmlns:r="http://schemas.openxmlformats.org/officeDocument/2006/relationships" name="TOPSIS" sheetId="2" r:id="R1af10520313f4ccd"/>
    <x:sheet xmlns:r="http://schemas.openxmlformats.org/officeDocument/2006/relationships" name="МАИ" sheetId="3" r:id="R3eabb997db6f4896"/>
    <x:sheet xmlns:r="http://schemas.openxmlformats.org/officeDocument/2006/relationships" name="Итог" sheetId="4" r:id="Rc55626fb5f3045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0"/>
    <x:numFmt numFmtId="202" formatCode="0"/>
  </x:numFmts>
  <x:fonts count="8">
    <x:font>
      <x:sz val="11"/>
      <x:name val="Carlito"/>
    </x:font>
    <x:font>
      <x:b/>
      <x:sz val="16"/>
      <x:color rgb="FFFFFFFF"/>
      <x:name val="Aptos"/>
    </x:font>
    <x:font>
      <x:b/>
      <x:sz val="12"/>
      <x:name val="Aptos"/>
    </x:font>
    <x:font>
      <x:sz val="11"/>
      <x:color rgb="FF222222"/>
      <x:name val="Aptos"/>
    </x:font>
    <x:font>
      <x:b/>
      <x:sz val="11"/>
      <x:color rgb="FF000000"/>
      <x:name val="Aptos"/>
    </x:font>
    <x:font>
      <x:b/>
      <x:sz val="15"/>
      <x:color rgb="FFFFFFFF"/>
      <x:name val="Aptos"/>
    </x:font>
    <x:font>
      <x:b/>
      <x:sz val="10"/>
      <x:color rgb="FF000000"/>
      <x:name val="Aptos"/>
    </x:font>
    <x:font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DCE6F1"/>
      </x:patternFill>
    </x:fill>
    <x:fill>
      <x:patternFill patternType="solid">
        <x:fgColor rgb="FFE8EDF2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4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0" fontId="6" fillId="3" borderId="0" xfId="0" applyNumberFormat="1" applyFont="1" applyFill="1" applyBorder="1"/>
    <x:xf numFmtId="202" fontId="7" fillId="0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ab9c72ae4b4ce5" /><Relationship Type="http://schemas.openxmlformats.org/officeDocument/2006/relationships/theme" Target="/xl/theme/theme1.xml" Id="Rf580d751c7ec441e" /><Relationship Type="http://schemas.openxmlformats.org/officeDocument/2006/relationships/sharedStrings" Target="/xl/sharedStrings.xml" Id="R8e69f02fc1d04bbc" /><Relationship Type="http://schemas.openxmlformats.org/officeDocument/2006/relationships/worksheet" Target="/xl/worksheets/sheet1.xml" Id="R5a8c291c503849f1" /><Relationship Type="http://schemas.openxmlformats.org/officeDocument/2006/relationships/worksheet" Target="/xl/worksheets/sheet2.xml" Id="R1af10520313f4ccd" /><Relationship Type="http://schemas.openxmlformats.org/officeDocument/2006/relationships/worksheet" Target="/xl/worksheets/sheet3.xml" Id="R3eabb997db6f4896" /><Relationship Type="http://schemas.openxmlformats.org/officeDocument/2006/relationships/worksheet" Target="/xl/worksheets/sheet4.xml" Id="Rc55626fb5f3045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36" hidden="0" customWidth="1"/>
    <x:col min="3" max="3" width="4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10" t="str">
        <x:v>Фаза 1 — исходные экспертные оценки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</x:row>
    <x:row r="2">
      <x:c r="A2" t="str">
        <x:v>Имена экспертов указаны по составу команды; приведённые численные оценки сценарные, индивидуальный опрос не проводился.</x:v>
      </x:c>
    </x:row>
    <x:row r="4">
      <x:c r="A4" s="6" t="str">
        <x:v>1 Критерии и их важность — трёхточечные оценки 1–9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</x:row>
    <x:row r="5">
      <x:c r="A5" s="13" t="str">
        <x:v>Код</x:v>
      </x:c>
      <x:c r="B5" s="13" t="str">
        <x:v>Критерий</x:v>
      </x:c>
      <x:c r="C5" s="13" t="str">
        <x:v>Направление</x:v>
      </x:c>
      <x:c r="D5" s="13" t="str">
        <x:v>Роман Иванин</x:v>
      </x:c>
      <x:c r="E5" s="13"/>
      <x:c r="F5" s="13"/>
      <x:c r="G5" s="13" t="str">
        <x:v>Баулин Евгений</x:v>
      </x:c>
      <x:c r="H5" s="13"/>
      <x:c r="I5" s="13"/>
      <x:c r="J5" s="13" t="str">
        <x:v>Миленин Никита</x:v>
      </x:c>
      <x:c r="K5" s="13"/>
      <x:c r="L5" s="13"/>
      <x:c r="M5" s="13" t="str">
        <x:v>Соу Мамаду</x:v>
      </x:c>
      <x:c r="N5" s="13"/>
      <x:c r="O5" s="13"/>
    </x:row>
    <x:row r="6">
      <x:c r="A6" s="13"/>
      <x:c r="B6" s="13"/>
      <x:c r="C6" s="13"/>
      <x:c r="D6" s="13" t="str">
        <x:v>Песс.</x:v>
      </x:c>
      <x:c r="E6" s="13" t="str">
        <x:v>Ожид.</x:v>
      </x:c>
      <x:c r="F6" s="13" t="str">
        <x:v>Опт.</x:v>
      </x:c>
      <x:c r="G6" s="13" t="str">
        <x:v>Песс.</x:v>
      </x:c>
      <x:c r="H6" s="13" t="str">
        <x:v>Ожид.</x:v>
      </x:c>
      <x:c r="I6" s="13" t="str">
        <x:v>Опт.</x:v>
      </x:c>
      <x:c r="J6" s="13" t="str">
        <x:v>Песс.</x:v>
      </x:c>
      <x:c r="K6" s="13" t="str">
        <x:v>Ожид.</x:v>
      </x:c>
      <x:c r="L6" s="13" t="str">
        <x:v>Опт.</x:v>
      </x:c>
      <x:c r="M6" s="13" t="str">
        <x:v>Песс.</x:v>
      </x:c>
      <x:c r="N6" s="13" t="str">
        <x:v>Ожид.</x:v>
      </x:c>
      <x:c r="O6" s="13" t="str">
        <x:v>Опт.</x:v>
      </x:c>
    </x:row>
    <x:row r="7">
      <x:c r="A7" s="14" t="str">
        <x:v>C1</x:v>
      </x:c>
      <x:c r="B7" s="14" t="str">
        <x:v>Полезность</x:v>
      </x:c>
      <x:c r="C7" s="14" t="str">
        <x:v>Выгодный</x:v>
      </x:c>
      <x:c r="D7" s="15" t="n">
        <x:v>7</x:v>
      </x:c>
      <x:c r="E7" s="15" t="n">
        <x:v>8</x:v>
      </x:c>
      <x:c r="F7" s="15" t="n">
        <x:v>9</x:v>
      </x:c>
      <x:c r="G7" s="15" t="n">
        <x:v>8</x:v>
      </x:c>
      <x:c r="H7" s="15" t="n">
        <x:v>9</x:v>
      </x:c>
      <x:c r="I7" s="15" t="n">
        <x:v>9</x:v>
      </x:c>
      <x:c r="J7" s="15" t="n">
        <x:v>6</x:v>
      </x:c>
      <x:c r="K7" s="15" t="n">
        <x:v>7</x:v>
      </x:c>
      <x:c r="L7" s="15" t="n">
        <x:v>8</x:v>
      </x:c>
      <x:c r="M7" s="15" t="n">
        <x:v>7</x:v>
      </x:c>
      <x:c r="N7" s="15" t="n">
        <x:v>8</x:v>
      </x:c>
      <x:c r="O7" s="15" t="n">
        <x:v>9</x:v>
      </x:c>
    </x:row>
    <x:row r="8">
      <x:c r="A8" s="14" t="str">
        <x:v>C2</x:v>
      </x:c>
      <x:c r="B8" s="14" t="str">
        <x:v>Реализуемость</x:v>
      </x:c>
      <x:c r="C8" s="14" t="str">
        <x:v>Выгодный</x:v>
      </x:c>
      <x:c r="D8" s="15" t="n">
        <x:v>6</x:v>
      </x:c>
      <x:c r="E8" s="15" t="n">
        <x:v>7</x:v>
      </x:c>
      <x:c r="F8" s="15" t="n">
        <x:v>8</x:v>
      </x:c>
      <x:c r="G8" s="15" t="n">
        <x:v>6</x:v>
      </x:c>
      <x:c r="H8" s="15" t="n">
        <x:v>7</x:v>
      </x:c>
      <x:c r="I8" s="15" t="n">
        <x:v>8</x:v>
      </x:c>
      <x:c r="J8" s="15" t="n">
        <x:v>8</x:v>
      </x:c>
      <x:c r="K8" s="15" t="n">
        <x:v>9</x:v>
      </x:c>
      <x:c r="L8" s="15" t="n">
        <x:v>9</x:v>
      </x:c>
      <x:c r="M8" s="15" t="n">
        <x:v>7</x:v>
      </x:c>
      <x:c r="N8" s="15" t="n">
        <x:v>8</x:v>
      </x:c>
      <x:c r="O8" s="15" t="n">
        <x:v>9</x:v>
      </x:c>
    </x:row>
    <x:row r="9">
      <x:c r="A9" s="14" t="str">
        <x:v>C3</x:v>
      </x:c>
      <x:c r="B9" s="14" t="str">
        <x:v>Ясность сценариев</x:v>
      </x:c>
      <x:c r="C9" s="14" t="str">
        <x:v>Выгодный</x:v>
      </x:c>
      <x:c r="D9" s="15" t="n">
        <x:v>5</x:v>
      </x:c>
      <x:c r="E9" s="15" t="n">
        <x:v>6</x:v>
      </x:c>
      <x:c r="F9" s="15" t="n">
        <x:v>7</x:v>
      </x:c>
      <x:c r="G9" s="15" t="n">
        <x:v>6</x:v>
      </x:c>
      <x:c r="H9" s="15" t="n">
        <x:v>7</x:v>
      </x:c>
      <x:c r="I9" s="15" t="n">
        <x:v>8</x:v>
      </x:c>
      <x:c r="J9" s="15" t="n">
        <x:v>6</x:v>
      </x:c>
      <x:c r="K9" s="15" t="n">
        <x:v>7</x:v>
      </x:c>
      <x:c r="L9" s="15" t="n">
        <x:v>8</x:v>
      </x:c>
      <x:c r="M9" s="15" t="n">
        <x:v>5</x:v>
      </x:c>
      <x:c r="N9" s="15" t="n">
        <x:v>6</x:v>
      </x:c>
      <x:c r="O9" s="15" t="n">
        <x:v>7</x:v>
      </x:c>
    </x:row>
    <x:row r="10">
      <x:c r="A10" s="14" t="str">
        <x:v>C4</x:v>
      </x:c>
      <x:c r="B10" s="14" t="str">
        <x:v>Пригодность для планирования</x:v>
      </x:c>
      <x:c r="C10" s="14" t="str">
        <x:v>Выгодный</x:v>
      </x:c>
      <x:c r="D10" s="15" t="n">
        <x:v>6</x:v>
      </x:c>
      <x:c r="E10" s="15" t="n">
        <x:v>7</x:v>
      </x:c>
      <x:c r="F10" s="15" t="n">
        <x:v>8</x:v>
      </x:c>
      <x:c r="G10" s="15" t="n">
        <x:v>5</x:v>
      </x:c>
      <x:c r="H10" s="15" t="n">
        <x:v>6</x:v>
      </x:c>
      <x:c r="I10" s="15" t="n">
        <x:v>7</x:v>
      </x:c>
      <x:c r="J10" s="15" t="n">
        <x:v>5</x:v>
      </x:c>
      <x:c r="K10" s="15" t="n">
        <x:v>6</x:v>
      </x:c>
      <x:c r="L10" s="15" t="n">
        <x:v>7</x:v>
      </x:c>
      <x:c r="M10" s="15" t="n">
        <x:v>8</x:v>
      </x:c>
      <x:c r="N10" s="15" t="n">
        <x:v>9</x:v>
      </x:c>
      <x:c r="O10" s="15" t="n">
        <x:v>9</x:v>
      </x:c>
    </x:row>
    <x:row r="12">
      <x:c r="A12" s="6" t="str">
        <x:v>2 Альтернативы</x:v>
      </x:c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</x:row>
    <x:row r="13">
      <x:c r="A13" s="8" t="str">
        <x:v>Код</x:v>
      </x:c>
      <x:c r="B13" s="8" t="str">
        <x:v>Концепция</x:v>
      </x:c>
      <x:c r="C13" s="8" t="str">
        <x:v>Граница MVP</x:v>
      </x:c>
    </x:row>
    <x:row r="14">
      <x:c r="A14" t="str">
        <x:v>A1</x:v>
      </x:c>
      <x:c r="B14" t="str">
        <x:v>Бронирование учебных помещений</x:v>
      </x:c>
      <x:c r="C14" t="str">
        <x:v>Один кампус, без внешних интеграций</x:v>
      </x:c>
    </x:row>
    <x:row r="15">
      <x:c r="A15" t="str">
        <x:v>A2</x:v>
      </x:c>
      <x:c r="B15" t="str">
        <x:v>Планирование учебных групп</x:v>
      </x:c>
      <x:c r="C15" t="str">
        <x:v>Один вуз, без видеосвязи</x:v>
      </x:c>
    </x:row>
    <x:row r="16">
      <x:c r="A16" t="str">
        <x:v>A3</x:v>
      </x:c>
      <x:c r="B16" t="str">
        <x:v>Регистрация на студенческие события</x:v>
      </x:c>
      <x:c r="C16" t="str">
        <x:v>Один факультет, без платежей</x:v>
      </x:c>
    </x:row>
    <x:row r="17">
      <x:c r="A17" t="str">
        <x:v>A4</x:v>
      </x:c>
      <x:c r="B17" t="str">
        <x:v>Расписание волонтёрских смен</x:v>
      </x:c>
      <x:c r="C17" t="str">
        <x:v>Одна организация, без вознаграждений</x:v>
      </x:c>
    </x:row>
    <x:row r="19">
      <x:c r="A19" s="6" t="str">
        <x:v>3 Оценки альтернатив по критериям — трёхточечные оценки 1–9</x:v>
      </x:c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</x:row>
    <x:row r="20">
      <x:c r="A20" s="13" t="str">
        <x:v>Критерий</x:v>
      </x:c>
      <x:c r="B20" s="13" t="str">
        <x:v>Альтернатива</x:v>
      </x:c>
      <x:c r="C20" s="13" t="str">
        <x:v>Концепция</x:v>
      </x:c>
      <x:c r="D20" s="13" t="str">
        <x:v>Роман Иванин</x:v>
      </x:c>
      <x:c r="E20" s="13"/>
      <x:c r="F20" s="13"/>
      <x:c r="G20" s="13" t="str">
        <x:v>Баулин Евгений</x:v>
      </x:c>
      <x:c r="H20" s="13"/>
      <x:c r="I20" s="13"/>
      <x:c r="J20" s="13" t="str">
        <x:v>Миленин Никита</x:v>
      </x:c>
      <x:c r="K20" s="13"/>
      <x:c r="L20" s="13"/>
      <x:c r="M20" s="13" t="str">
        <x:v>Соу Мамаду</x:v>
      </x:c>
      <x:c r="N20" s="13"/>
      <x:c r="O20" s="13"/>
    </x:row>
    <x:row r="21">
      <x:c r="A21" s="13"/>
      <x:c r="B21" s="13"/>
      <x:c r="C21" s="13"/>
      <x:c r="D21" s="13" t="str">
        <x:v>Песс.</x:v>
      </x:c>
      <x:c r="E21" s="13" t="str">
        <x:v>Ожид.</x:v>
      </x:c>
      <x:c r="F21" s="13" t="str">
        <x:v>Опт.</x:v>
      </x:c>
      <x:c r="G21" s="13" t="str">
        <x:v>Песс.</x:v>
      </x:c>
      <x:c r="H21" s="13" t="str">
        <x:v>Ожид.</x:v>
      </x:c>
      <x:c r="I21" s="13" t="str">
        <x:v>Опт.</x:v>
      </x:c>
      <x:c r="J21" s="13" t="str">
        <x:v>Песс.</x:v>
      </x:c>
      <x:c r="K21" s="13" t="str">
        <x:v>Ожид.</x:v>
      </x:c>
      <x:c r="L21" s="13" t="str">
        <x:v>Опт.</x:v>
      </x:c>
      <x:c r="M21" s="13" t="str">
        <x:v>Песс.</x:v>
      </x:c>
      <x:c r="N21" s="13" t="str">
        <x:v>Ожид.</x:v>
      </x:c>
      <x:c r="O21" s="13" t="str">
        <x:v>Опт.</x:v>
      </x:c>
    </x:row>
    <x:row r="22">
      <x:c r="A22" s="14" t="str">
        <x:v>C1</x:v>
      </x:c>
      <x:c r="B22" s="14" t="str">
        <x:v>A1</x:v>
      </x:c>
      <x:c r="C22" s="14" t="str">
        <x:v>Бронирование помещений</x:v>
      </x:c>
      <x:c r="D22" s="15" t="n">
        <x:v>6</x:v>
      </x:c>
      <x:c r="E22" s="15" t="n">
        <x:v>7</x:v>
      </x:c>
      <x:c r="F22" s="15" t="n">
        <x:v>8</x:v>
      </x:c>
      <x:c r="G22" s="15" t="n">
        <x:v>5</x:v>
      </x:c>
      <x:c r="H22" s="15" t="n">
        <x:v>6</x:v>
      </x:c>
      <x:c r="I22" s="15" t="n">
        <x:v>7</x:v>
      </x:c>
      <x:c r="J22" s="15" t="n">
        <x:v>6</x:v>
      </x:c>
      <x:c r="K22" s="15" t="n">
        <x:v>7</x:v>
      </x:c>
      <x:c r="L22" s="15" t="n">
        <x:v>8</x:v>
      </x:c>
      <x:c r="M22" s="15" t="n">
        <x:v>6</x:v>
      </x:c>
      <x:c r="N22" s="15" t="n">
        <x:v>7</x:v>
      </x:c>
      <x:c r="O22" s="15" t="n">
        <x:v>8</x:v>
      </x:c>
    </x:row>
    <x:row r="23">
      <x:c r="A23" s="14" t="str">
        <x:v>C1</x:v>
      </x:c>
      <x:c r="B23" s="14" t="str">
        <x:v>A2</x:v>
      </x:c>
      <x:c r="C23" s="14" t="str">
        <x:v>Учебные группы</x:v>
      </x:c>
      <x:c r="D23" s="15" t="n">
        <x:v>6</x:v>
      </x:c>
      <x:c r="E23" s="15" t="n">
        <x:v>7</x:v>
      </x:c>
      <x:c r="F23" s="15" t="n">
        <x:v>8</x:v>
      </x:c>
      <x:c r="G23" s="15" t="n">
        <x:v>7</x:v>
      </x:c>
      <x:c r="H23" s="15" t="n">
        <x:v>8</x:v>
      </x:c>
      <x:c r="I23" s="15" t="n">
        <x:v>9</x:v>
      </x:c>
      <x:c r="J23" s="15" t="n">
        <x:v>6</x:v>
      </x:c>
      <x:c r="K23" s="15" t="n">
        <x:v>7</x:v>
      </x:c>
      <x:c r="L23" s="15" t="n">
        <x:v>8</x:v>
      </x:c>
      <x:c r="M23" s="15" t="n">
        <x:v>6</x:v>
      </x:c>
      <x:c r="N23" s="15" t="n">
        <x:v>7</x:v>
      </x:c>
      <x:c r="O23" s="15" t="n">
        <x:v>8</x:v>
      </x:c>
    </x:row>
    <x:row r="24">
      <x:c r="A24" s="14" t="str">
        <x:v>C1</x:v>
      </x:c>
      <x:c r="B24" s="14" t="str">
        <x:v>A3</x:v>
      </x:c>
      <x:c r="C24" s="14" t="str">
        <x:v>Студенческие события</x:v>
      </x:c>
      <x:c r="D24" s="15" t="n">
        <x:v>7</x:v>
      </x:c>
      <x:c r="E24" s="15" t="n">
        <x:v>8</x:v>
      </x:c>
      <x:c r="F24" s="15" t="n">
        <x:v>9</x:v>
      </x:c>
      <x:c r="G24" s="15" t="n">
        <x:v>8</x:v>
      </x:c>
      <x:c r="H24" s="15" t="n">
        <x:v>9</x:v>
      </x:c>
      <x:c r="I24" s="15" t="n">
        <x:v>9</x:v>
      </x:c>
      <x:c r="J24" s="15" t="n">
        <x:v>7</x:v>
      </x:c>
      <x:c r="K24" s="15" t="n">
        <x:v>8</x:v>
      </x:c>
      <x:c r="L24" s="15" t="n">
        <x:v>9</x:v>
      </x:c>
      <x:c r="M24" s="15" t="n">
        <x:v>7</x:v>
      </x:c>
      <x:c r="N24" s="15" t="n">
        <x:v>8</x:v>
      </x:c>
      <x:c r="O24" s="15" t="n">
        <x:v>9</x:v>
      </x:c>
    </x:row>
    <x:row r="25">
      <x:c r="A25" s="14" t="str">
        <x:v>C1</x:v>
      </x:c>
      <x:c r="B25" s="14" t="str">
        <x:v>A4</x:v>
      </x:c>
      <x:c r="C25" s="14" t="str">
        <x:v>Волонтёрские смены</x:v>
      </x:c>
      <x:c r="D25" s="15" t="n">
        <x:v>7</x:v>
      </x:c>
      <x:c r="E25" s="15" t="n">
        <x:v>8</x:v>
      </x:c>
      <x:c r="F25" s="15" t="n">
        <x:v>9</x:v>
      </x:c>
      <x:c r="G25" s="15" t="n">
        <x:v>7</x:v>
      </x:c>
      <x:c r="H25" s="15" t="n">
        <x:v>8</x:v>
      </x:c>
      <x:c r="I25" s="15" t="n">
        <x:v>9</x:v>
      </x:c>
      <x:c r="J25" s="15" t="n">
        <x:v>6</x:v>
      </x:c>
      <x:c r="K25" s="15" t="n">
        <x:v>7</x:v>
      </x:c>
      <x:c r="L25" s="15" t="n">
        <x:v>8</x:v>
      </x:c>
      <x:c r="M25" s="15" t="n">
        <x:v>7</x:v>
      </x:c>
      <x:c r="N25" s="15" t="n">
        <x:v>8</x:v>
      </x:c>
      <x:c r="O25" s="15" t="n">
        <x:v>9</x:v>
      </x:c>
    </x:row>
    <x:row r="26">
      <x:c r="A26" s="14" t="str">
        <x:v>C2</x:v>
      </x:c>
      <x:c r="B26" s="14" t="str">
        <x:v>A1</x:v>
      </x:c>
      <x:c r="C26" s="14" t="str">
        <x:v>Бронирование помещений</x:v>
      </x:c>
      <x:c r="D26" s="15" t="n">
        <x:v>4</x:v>
      </x:c>
      <x:c r="E26" s="15" t="n">
        <x:v>5</x:v>
      </x:c>
      <x:c r="F26" s="15" t="n">
        <x:v>6</x:v>
      </x:c>
      <x:c r="G26" s="15" t="n">
        <x:v>5</x:v>
      </x:c>
      <x:c r="H26" s="15" t="n">
        <x:v>6</x:v>
      </x:c>
      <x:c r="I26" s="15" t="n">
        <x:v>7</x:v>
      </x:c>
      <x:c r="J26" s="15" t="n">
        <x:v>4</x:v>
      </x:c>
      <x:c r="K26" s="15" t="n">
        <x:v>5</x:v>
      </x:c>
      <x:c r="L26" s="15" t="n">
        <x:v>6</x:v>
      </x:c>
      <x:c r="M26" s="15" t="n">
        <x:v>5</x:v>
      </x:c>
      <x:c r="N26" s="15" t="n">
        <x:v>6</x:v>
      </x:c>
      <x:c r="O26" s="15" t="n">
        <x:v>7</x:v>
      </x:c>
    </x:row>
    <x:row r="27">
      <x:c r="A27" s="14" t="str">
        <x:v>C2</x:v>
      </x:c>
      <x:c r="B27" s="14" t="str">
        <x:v>A2</x:v>
      </x:c>
      <x:c r="C27" s="14" t="str">
        <x:v>Учебные группы</x:v>
      </x:c>
      <x:c r="D27" s="15" t="n">
        <x:v>7</x:v>
      </x:c>
      <x:c r="E27" s="15" t="n">
        <x:v>8</x:v>
      </x:c>
      <x:c r="F27" s="15" t="n">
        <x:v>9</x:v>
      </x:c>
      <x:c r="G27" s="15" t="n">
        <x:v>7</x:v>
      </x:c>
      <x:c r="H27" s="15" t="n">
        <x:v>8</x:v>
      </x:c>
      <x:c r="I27" s="15" t="n">
        <x:v>9</x:v>
      </x:c>
      <x:c r="J27" s="15" t="n">
        <x:v>8</x:v>
      </x:c>
      <x:c r="K27" s="15" t="n">
        <x:v>9</x:v>
      </x:c>
      <x:c r="L27" s="15" t="n">
        <x:v>9</x:v>
      </x:c>
      <x:c r="M27" s="15" t="n">
        <x:v>7</x:v>
      </x:c>
      <x:c r="N27" s="15" t="n">
        <x:v>8</x:v>
      </x:c>
      <x:c r="O27" s="15" t="n">
        <x:v>9</x:v>
      </x:c>
    </x:row>
    <x:row r="28">
      <x:c r="A28" s="14" t="str">
        <x:v>C2</x:v>
      </x:c>
      <x:c r="B28" s="14" t="str">
        <x:v>A3</x:v>
      </x:c>
      <x:c r="C28" s="14" t="str">
        <x:v>Студенческие события</x:v>
      </x:c>
      <x:c r="D28" s="15" t="n">
        <x:v>6</x:v>
      </x:c>
      <x:c r="E28" s="15" t="n">
        <x:v>7</x:v>
      </x:c>
      <x:c r="F28" s="15" t="n">
        <x:v>8</x:v>
      </x:c>
      <x:c r="G28" s="15" t="n">
        <x:v>6</x:v>
      </x:c>
      <x:c r="H28" s="15" t="n">
        <x:v>7</x:v>
      </x:c>
      <x:c r="I28" s="15" t="n">
        <x:v>8</x:v>
      </x:c>
      <x:c r="J28" s="15" t="n">
        <x:v>7</x:v>
      </x:c>
      <x:c r="K28" s="15" t="n">
        <x:v>8</x:v>
      </x:c>
      <x:c r="L28" s="15" t="n">
        <x:v>9</x:v>
      </x:c>
      <x:c r="M28" s="15" t="n">
        <x:v>6</x:v>
      </x:c>
      <x:c r="N28" s="15" t="n">
        <x:v>7</x:v>
      </x:c>
      <x:c r="O28" s="15" t="n">
        <x:v>8</x:v>
      </x:c>
    </x:row>
    <x:row r="29">
      <x:c r="A29" s="14" t="str">
        <x:v>C2</x:v>
      </x:c>
      <x:c r="B29" s="14" t="str">
        <x:v>A4</x:v>
      </x:c>
      <x:c r="C29" s="14" t="str">
        <x:v>Волонтёрские смены</x:v>
      </x:c>
      <x:c r="D29" s="15" t="n">
        <x:v>5</x:v>
      </x:c>
      <x:c r="E29" s="15" t="n">
        <x:v>6</x:v>
      </x:c>
      <x:c r="F29" s="15" t="n">
        <x:v>7</x:v>
      </x:c>
      <x:c r="G29" s="15" t="n">
        <x:v>5</x:v>
      </x:c>
      <x:c r="H29" s="15" t="n">
        <x:v>6</x:v>
      </x:c>
      <x:c r="I29" s="15" t="n">
        <x:v>7</x:v>
      </x:c>
      <x:c r="J29" s="15" t="n">
        <x:v>5</x:v>
      </x:c>
      <x:c r="K29" s="15" t="n">
        <x:v>6</x:v>
      </x:c>
      <x:c r="L29" s="15" t="n">
        <x:v>7</x:v>
      </x:c>
      <x:c r="M29" s="15" t="n">
        <x:v>5</x:v>
      </x:c>
      <x:c r="N29" s="15" t="n">
        <x:v>6</x:v>
      </x:c>
      <x:c r="O29" s="15" t="n">
        <x:v>7</x:v>
      </x:c>
    </x:row>
    <x:row r="30">
      <x:c r="A30" s="14" t="str">
        <x:v>C3</x:v>
      </x:c>
      <x:c r="B30" s="14" t="str">
        <x:v>A1</x:v>
      </x:c>
      <x:c r="C30" s="14" t="str">
        <x:v>Бронирование помещений</x:v>
      </x:c>
      <x:c r="D30" s="15" t="n">
        <x:v>7</x:v>
      </x:c>
      <x:c r="E30" s="15" t="n">
        <x:v>8</x:v>
      </x:c>
      <x:c r="F30" s="15" t="n">
        <x:v>9</x:v>
      </x:c>
      <x:c r="G30" s="15" t="n">
        <x:v>7</x:v>
      </x:c>
      <x:c r="H30" s="15" t="n">
        <x:v>8</x:v>
      </x:c>
      <x:c r="I30" s="15" t="n">
        <x:v>9</x:v>
      </x:c>
      <x:c r="J30" s="15" t="n">
        <x:v>8</x:v>
      </x:c>
      <x:c r="K30" s="15" t="n">
        <x:v>9</x:v>
      </x:c>
      <x:c r="L30" s="15" t="n">
        <x:v>9</x:v>
      </x:c>
      <x:c r="M30" s="15" t="n">
        <x:v>7</x:v>
      </x:c>
      <x:c r="N30" s="15" t="n">
        <x:v>8</x:v>
      </x:c>
      <x:c r="O30" s="15" t="n">
        <x:v>9</x:v>
      </x:c>
    </x:row>
    <x:row r="31">
      <x:c r="A31" s="14" t="str">
        <x:v>C3</x:v>
      </x:c>
      <x:c r="B31" s="14" t="str">
        <x:v>A2</x:v>
      </x:c>
      <x:c r="C31" s="14" t="str">
        <x:v>Учебные группы</x:v>
      </x:c>
      <x:c r="D31" s="15" t="n">
        <x:v>5</x:v>
      </x:c>
      <x:c r="E31" s="15" t="n">
        <x:v>6</x:v>
      </x:c>
      <x:c r="F31" s="15" t="n">
        <x:v>7</x:v>
      </x:c>
      <x:c r="G31" s="15" t="n">
        <x:v>5</x:v>
      </x:c>
      <x:c r="H31" s="15" t="n">
        <x:v>6</x:v>
      </x:c>
      <x:c r="I31" s="15" t="n">
        <x:v>7</x:v>
      </x:c>
      <x:c r="J31" s="15" t="n">
        <x:v>5</x:v>
      </x:c>
      <x:c r="K31" s="15" t="n">
        <x:v>6</x:v>
      </x:c>
      <x:c r="L31" s="15" t="n">
        <x:v>7</x:v>
      </x:c>
      <x:c r="M31" s="15" t="n">
        <x:v>6</x:v>
      </x:c>
      <x:c r="N31" s="15" t="n">
        <x:v>7</x:v>
      </x:c>
      <x:c r="O31" s="15" t="n">
        <x:v>8</x:v>
      </x:c>
    </x:row>
    <x:row r="32">
      <x:c r="A32" s="14" t="str">
        <x:v>C3</x:v>
      </x:c>
      <x:c r="B32" s="14" t="str">
        <x:v>A3</x:v>
      </x:c>
      <x:c r="C32" s="14" t="str">
        <x:v>Студенческие события</x:v>
      </x:c>
      <x:c r="D32" s="15" t="n">
        <x:v>7</x:v>
      </x:c>
      <x:c r="E32" s="15" t="n">
        <x:v>8</x:v>
      </x:c>
      <x:c r="F32" s="15" t="n">
        <x:v>9</x:v>
      </x:c>
      <x:c r="G32" s="15" t="n">
        <x:v>7</x:v>
      </x:c>
      <x:c r="H32" s="15" t="n">
        <x:v>8</x:v>
      </x:c>
      <x:c r="I32" s="15" t="n">
        <x:v>9</x:v>
      </x:c>
      <x:c r="J32" s="15" t="n">
        <x:v>7</x:v>
      </x:c>
      <x:c r="K32" s="15" t="n">
        <x:v>8</x:v>
      </x:c>
      <x:c r="L32" s="15" t="n">
        <x:v>9</x:v>
      </x:c>
      <x:c r="M32" s="15" t="n">
        <x:v>8</x:v>
      </x:c>
      <x:c r="N32" s="15" t="n">
        <x:v>9</x:v>
      </x:c>
      <x:c r="O32" s="15" t="n">
        <x:v>9</x:v>
      </x:c>
    </x:row>
    <x:row r="33">
      <x:c r="A33" s="14" t="str">
        <x:v>C3</x:v>
      </x:c>
      <x:c r="B33" s="14" t="str">
        <x:v>A4</x:v>
      </x:c>
      <x:c r="C33" s="14" t="str">
        <x:v>Волонтёрские смены</x:v>
      </x:c>
      <x:c r="D33" s="15" t="n">
        <x:v>6</x:v>
      </x:c>
      <x:c r="E33" s="15" t="n">
        <x:v>7</x:v>
      </x:c>
      <x:c r="F33" s="15" t="n">
        <x:v>8</x:v>
      </x:c>
      <x:c r="G33" s="15" t="n">
        <x:v>6</x:v>
      </x:c>
      <x:c r="H33" s="15" t="n">
        <x:v>7</x:v>
      </x:c>
      <x:c r="I33" s="15" t="n">
        <x:v>8</x:v>
      </x:c>
      <x:c r="J33" s="15" t="n">
        <x:v>7</x:v>
      </x:c>
      <x:c r="K33" s="15" t="n">
        <x:v>8</x:v>
      </x:c>
      <x:c r="L33" s="15" t="n">
        <x:v>9</x:v>
      </x:c>
      <x:c r="M33" s="15" t="n">
        <x:v>6</x:v>
      </x:c>
      <x:c r="N33" s="15" t="n">
        <x:v>7</x:v>
      </x:c>
      <x:c r="O33" s="15" t="n">
        <x:v>8</x:v>
      </x:c>
    </x:row>
    <x:row r="34">
      <x:c r="A34" s="14" t="str">
        <x:v>C4</x:v>
      </x:c>
      <x:c r="B34" s="14" t="str">
        <x:v>A1</x:v>
      </x:c>
      <x:c r="C34" s="14" t="str">
        <x:v>Бронирование помещений</x:v>
      </x:c>
      <x:c r="D34" s="15" t="n">
        <x:v>6</x:v>
      </x:c>
      <x:c r="E34" s="15" t="n">
        <x:v>7</x:v>
      </x:c>
      <x:c r="F34" s="15" t="n">
        <x:v>8</x:v>
      </x:c>
      <x:c r="G34" s="15" t="n">
        <x:v>6</x:v>
      </x:c>
      <x:c r="H34" s="15" t="n">
        <x:v>7</x:v>
      </x:c>
      <x:c r="I34" s="15" t="n">
        <x:v>8</x:v>
      </x:c>
      <x:c r="J34" s="15" t="n">
        <x:v>6</x:v>
      </x:c>
      <x:c r="K34" s="15" t="n">
        <x:v>7</x:v>
      </x:c>
      <x:c r="L34" s="15" t="n">
        <x:v>8</x:v>
      </x:c>
      <x:c r="M34" s="15" t="n">
        <x:v>6</x:v>
      </x:c>
      <x:c r="N34" s="15" t="n">
        <x:v>7</x:v>
      </x:c>
      <x:c r="O34" s="15" t="n">
        <x:v>8</x:v>
      </x:c>
    </x:row>
    <x:row r="35">
      <x:c r="A35" s="14" t="str">
        <x:v>C4</x:v>
      </x:c>
      <x:c r="B35" s="14" t="str">
        <x:v>A2</x:v>
      </x:c>
      <x:c r="C35" s="14" t="str">
        <x:v>Учебные группы</x:v>
      </x:c>
      <x:c r="D35" s="15" t="n">
        <x:v>5</x:v>
      </x:c>
      <x:c r="E35" s="15" t="n">
        <x:v>6</x:v>
      </x:c>
      <x:c r="F35" s="15" t="n">
        <x:v>7</x:v>
      </x:c>
      <x:c r="G35" s="15" t="n">
        <x:v>5</x:v>
      </x:c>
      <x:c r="H35" s="15" t="n">
        <x:v>6</x:v>
      </x:c>
      <x:c r="I35" s="15" t="n">
        <x:v>7</x:v>
      </x:c>
      <x:c r="J35" s="15" t="n">
        <x:v>5</x:v>
      </x:c>
      <x:c r="K35" s="15" t="n">
        <x:v>6</x:v>
      </x:c>
      <x:c r="L35" s="15" t="n">
        <x:v>7</x:v>
      </x:c>
      <x:c r="M35" s="15" t="n">
        <x:v>5</x:v>
      </x:c>
      <x:c r="N35" s="15" t="n">
        <x:v>6</x:v>
      </x:c>
      <x:c r="O35" s="15" t="n">
        <x:v>7</x:v>
      </x:c>
    </x:row>
    <x:row r="36">
      <x:c r="A36" s="14" t="str">
        <x:v>C4</x:v>
      </x:c>
      <x:c r="B36" s="14" t="str">
        <x:v>A3</x:v>
      </x:c>
      <x:c r="C36" s="14" t="str">
        <x:v>Студенческие события</x:v>
      </x:c>
      <x:c r="D36" s="15" t="n">
        <x:v>7</x:v>
      </x:c>
      <x:c r="E36" s="15" t="n">
        <x:v>8</x:v>
      </x:c>
      <x:c r="F36" s="15" t="n">
        <x:v>9</x:v>
      </x:c>
      <x:c r="G36" s="15" t="n">
        <x:v>7</x:v>
      </x:c>
      <x:c r="H36" s="15" t="n">
        <x:v>8</x:v>
      </x:c>
      <x:c r="I36" s="15" t="n">
        <x:v>9</x:v>
      </x:c>
      <x:c r="J36" s="15" t="n">
        <x:v>7</x:v>
      </x:c>
      <x:c r="K36" s="15" t="n">
        <x:v>8</x:v>
      </x:c>
      <x:c r="L36" s="15" t="n">
        <x:v>9</x:v>
      </x:c>
      <x:c r="M36" s="15" t="n">
        <x:v>7</x:v>
      </x:c>
      <x:c r="N36" s="15" t="n">
        <x:v>8</x:v>
      </x:c>
      <x:c r="O36" s="15" t="n">
        <x:v>9</x:v>
      </x:c>
    </x:row>
    <x:row r="37">
      <x:c r="A37" s="14" t="str">
        <x:v>C4</x:v>
      </x:c>
      <x:c r="B37" s="14" t="str">
        <x:v>A4</x:v>
      </x:c>
      <x:c r="C37" s="14" t="str">
        <x:v>Волонтёрские смены</x:v>
      </x:c>
      <x:c r="D37" s="15" t="n">
        <x:v>8</x:v>
      </x:c>
      <x:c r="E37" s="15" t="n">
        <x:v>9</x:v>
      </x:c>
      <x:c r="F37" s="15" t="n">
        <x:v>9</x:v>
      </x:c>
      <x:c r="G37" s="15" t="n">
        <x:v>7</x:v>
      </x:c>
      <x:c r="H37" s="15" t="n">
        <x:v>8</x:v>
      </x:c>
      <x:c r="I37" s="15" t="n">
        <x:v>9</x:v>
      </x:c>
      <x:c r="J37" s="15" t="n">
        <x:v>8</x:v>
      </x:c>
      <x:c r="K37" s="15" t="n">
        <x:v>9</x:v>
      </x:c>
      <x:c r="L37" s="15" t="n">
        <x:v>9</x:v>
      </x:c>
      <x:c r="M37" s="15" t="n">
        <x:v>8</x:v>
      </x:c>
      <x:c r="N37" s="15" t="n">
        <x:v>9</x:v>
      </x:c>
      <x:c r="O37" s="15" t="n">
        <x:v>9</x:v>
      </x:c>
    </x:row>
    <x:row r="39">
      <x:c r="A39" s="6" t="str">
        <x:v>4 Парные сравнения МАИ — предпочтение первого элемента относительно второго</x:v>
      </x:c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</x:row>
    <x:row r="40">
      <x:c r="A40" s="13" t="str">
        <x:v>Матрица</x:v>
      </x:c>
      <x:c r="B40" s="13" t="str">
        <x:v>Первый элемент</x:v>
      </x:c>
      <x:c r="C40" s="13" t="str">
        <x:v>Второй элемент</x:v>
      </x:c>
      <x:c r="D40" s="13" t="str">
        <x:v>Р. Иванин</x:v>
      </x:c>
      <x:c r="E40" s="13" t="str">
        <x:v>Е. Баулин</x:v>
      </x:c>
      <x:c r="F40" s="13" t="str">
        <x:v>Н. Миленин</x:v>
      </x:c>
      <x:c r="G40" s="13" t="str">
        <x:v>М. Соу</x:v>
      </x:c>
    </x:row>
    <x:row r="41">
      <x:c r="A41" s="14" t="str">
        <x:v>Критерии</x:v>
      </x:c>
      <x:c r="B41" s="14" t="str">
        <x:v>C1 Полезность</x:v>
      </x:c>
      <x:c r="C41" s="14" t="str">
        <x:v>C2 Реализуемость</x:v>
      </x:c>
      <x:c r="D41" s="16" t="n">
        <x:v>1</x:v>
      </x:c>
      <x:c r="E41" s="16" t="n">
        <x:v>2</x:v>
      </x:c>
      <x:c r="F41" s="16" t="n">
        <x:v>0.5</x:v>
      </x:c>
      <x:c r="G41" s="16" t="n">
        <x:v>1</x:v>
      </x:c>
    </x:row>
    <x:row r="42">
      <x:c r="A42" s="14" t="str">
        <x:v>Критерии</x:v>
      </x:c>
      <x:c r="B42" s="14" t="str">
        <x:v>C1 Полезность</x:v>
      </x:c>
      <x:c r="C42" s="14" t="str">
        <x:v>C3 Ясность сценариев</x:v>
      </x:c>
      <x:c r="D42" s="16" t="n">
        <x:v>2</x:v>
      </x:c>
      <x:c r="E42" s="16" t="n">
        <x:v>3</x:v>
      </x:c>
      <x:c r="F42" s="16" t="n">
        <x:v>2</x:v>
      </x:c>
      <x:c r="G42" s="16" t="n">
        <x:v>2</x:v>
      </x:c>
    </x:row>
    <x:row r="43">
      <x:c r="A43" s="14" t="str">
        <x:v>Критерии</x:v>
      </x:c>
      <x:c r="B43" s="14" t="str">
        <x:v>C1 Полезность</x:v>
      </x:c>
      <x:c r="C43" s="14" t="str">
        <x:v>C4 Пригодность для планирования</x:v>
      </x:c>
      <x:c r="D43" s="16" t="n">
        <x:v>1</x:v>
      </x:c>
      <x:c r="E43" s="16" t="n">
        <x:v>2</x:v>
      </x:c>
      <x:c r="F43" s="16" t="n">
        <x:v>1</x:v>
      </x:c>
      <x:c r="G43" s="16" t="n">
        <x:v>1</x:v>
      </x:c>
    </x:row>
    <x:row r="44">
      <x:c r="A44" s="14" t="str">
        <x:v>Критерии</x:v>
      </x:c>
      <x:c r="B44" s="14" t="str">
        <x:v>C2 Реализуемость</x:v>
      </x:c>
      <x:c r="C44" s="14" t="str">
        <x:v>C3 Ясность сценариев</x:v>
      </x:c>
      <x:c r="D44" s="16" t="n">
        <x:v>2</x:v>
      </x:c>
      <x:c r="E44" s="16" t="n">
        <x:v>2</x:v>
      </x:c>
      <x:c r="F44" s="16" t="n">
        <x:v>3</x:v>
      </x:c>
      <x:c r="G44" s="16" t="n">
        <x:v>2</x:v>
      </x:c>
    </x:row>
    <x:row r="45">
      <x:c r="A45" s="14" t="str">
        <x:v>Критерии</x:v>
      </x:c>
      <x:c r="B45" s="14" t="str">
        <x:v>C2 Реализуемость</x:v>
      </x:c>
      <x:c r="C45" s="14" t="str">
        <x:v>C4 Пригодность для планирования</x:v>
      </x:c>
      <x:c r="D45" s="16" t="n">
        <x:v>1</x:v>
      </x:c>
      <x:c r="E45" s="16" t="n">
        <x:v>1</x:v>
      </x:c>
      <x:c r="F45" s="16" t="n">
        <x:v>2</x:v>
      </x:c>
      <x:c r="G45" s="16" t="n">
        <x:v>1</x:v>
      </x:c>
    </x:row>
    <x:row r="46">
      <x:c r="A46" s="14" t="str">
        <x:v>Критерии</x:v>
      </x:c>
      <x:c r="B46" s="14" t="str">
        <x:v>C3 Ясность сценариев</x:v>
      </x:c>
      <x:c r="C46" s="14" t="str">
        <x:v>C4 Пригодность для планирования</x:v>
      </x:c>
      <x:c r="D46" s="16" t="n">
        <x:v>0.5</x:v>
      </x:c>
      <x:c r="E46" s="16" t="n">
        <x:v>0.5</x:v>
      </x:c>
      <x:c r="F46" s="16" t="n">
        <x:v>0.5</x:v>
      </x:c>
      <x:c r="G46" s="16" t="n">
        <x:v>0.3333333333333333</x:v>
      </x:c>
    </x:row>
    <x:row r="47">
      <x:c r="A47" s="14" t="str">
        <x:v>C1 Полезность</x:v>
      </x:c>
      <x:c r="B47" s="14" t="str">
        <x:v>A1 Бронирование помещений</x:v>
      </x:c>
      <x:c r="C47" s="14" t="str">
        <x:v>A2 Учебные группы</x:v>
      </x:c>
      <x:c r="D47" s="16" t="n">
        <x:v>1</x:v>
      </x:c>
      <x:c r="E47" s="16" t="n">
        <x:v>0.5</x:v>
      </x:c>
      <x:c r="F47" s="16" t="n">
        <x:v>1</x:v>
      </x:c>
      <x:c r="G47" s="16" t="n">
        <x:v>1</x:v>
      </x:c>
    </x:row>
    <x:row r="48">
      <x:c r="A48" s="14" t="str">
        <x:v>C1 Полезность</x:v>
      </x:c>
      <x:c r="B48" s="14" t="str">
        <x:v>A1 Бронирование помещений</x:v>
      </x:c>
      <x:c r="C48" s="14" t="str">
        <x:v>A3 Студенческие события</x:v>
      </x:c>
      <x:c r="D48" s="16" t="n">
        <x:v>0.5</x:v>
      </x:c>
      <x:c r="E48" s="16" t="n">
        <x:v>0.3333333333333333</x:v>
      </x:c>
      <x:c r="F48" s="16" t="n">
        <x:v>1</x:v>
      </x:c>
      <x:c r="G48" s="16" t="n">
        <x:v>0.5</x:v>
      </x:c>
    </x:row>
    <x:row r="49">
      <x:c r="A49" s="14" t="str">
        <x:v>C1 Полезность</x:v>
      </x:c>
      <x:c r="B49" s="14" t="str">
        <x:v>A1 Бронирование помещений</x:v>
      </x:c>
      <x:c r="C49" s="14" t="str">
        <x:v>A4 Волонтёрские смены</x:v>
      </x:c>
      <x:c r="D49" s="16" t="n">
        <x:v>1</x:v>
      </x:c>
      <x:c r="E49" s="16" t="n">
        <x:v>0.5</x:v>
      </x:c>
      <x:c r="F49" s="16" t="n">
        <x:v>1</x:v>
      </x:c>
      <x:c r="G49" s="16" t="n">
        <x:v>1</x:v>
      </x:c>
    </x:row>
    <x:row r="50">
      <x:c r="A50" s="14" t="str">
        <x:v>C1 Полезность</x:v>
      </x:c>
      <x:c r="B50" s="14" t="str">
        <x:v>A2 Учебные группы</x:v>
      </x:c>
      <x:c r="C50" s="14" t="str">
        <x:v>A3 Студенческие события</x:v>
      </x:c>
      <x:c r="D50" s="16" t="n">
        <x:v>0.5</x:v>
      </x:c>
      <x:c r="E50" s="16" t="n">
        <x:v>0.5</x:v>
      </x:c>
      <x:c r="F50" s="16" t="n">
        <x:v>1</x:v>
      </x:c>
      <x:c r="G50" s="16" t="n">
        <x:v>0.5</x:v>
      </x:c>
    </x:row>
    <x:row r="51">
      <x:c r="A51" s="14" t="str">
        <x:v>C1 Полезность</x:v>
      </x:c>
      <x:c r="B51" s="14" t="str">
        <x:v>A2 Учебные группы</x:v>
      </x:c>
      <x:c r="C51" s="14" t="str">
        <x:v>A4 Волонтёрские смены</x:v>
      </x:c>
      <x:c r="D51" s="16" t="n">
        <x:v>1</x:v>
      </x:c>
      <x:c r="E51" s="16" t="n">
        <x:v>1</x:v>
      </x:c>
      <x:c r="F51" s="16" t="n">
        <x:v>1</x:v>
      </x:c>
      <x:c r="G51" s="16" t="n">
        <x:v>1</x:v>
      </x:c>
    </x:row>
    <x:row r="52">
      <x:c r="A52" s="14" t="str">
        <x:v>C1 Полезность</x:v>
      </x:c>
      <x:c r="B52" s="14" t="str">
        <x:v>A3 Студенческие события</x:v>
      </x:c>
      <x:c r="C52" s="14" t="str">
        <x:v>A4 Волонтёрские смены</x:v>
      </x:c>
      <x:c r="D52" s="16" t="n">
        <x:v>1</x:v>
      </x:c>
      <x:c r="E52" s="16" t="n">
        <x:v>1</x:v>
      </x:c>
      <x:c r="F52" s="16" t="n">
        <x:v>1</x:v>
      </x:c>
      <x:c r="G52" s="16" t="n">
        <x:v>1</x:v>
      </x:c>
    </x:row>
    <x:row r="53">
      <x:c r="A53" s="14" t="str">
        <x:v>C2 Реализуемость</x:v>
      </x:c>
      <x:c r="B53" s="14" t="str">
        <x:v>A1 Бронирование помещений</x:v>
      </x:c>
      <x:c r="C53" s="14" t="str">
        <x:v>A2 Учебные группы</x:v>
      </x:c>
      <x:c r="D53" s="16" t="n">
        <x:v>0.3333333333333333</x:v>
      </x:c>
      <x:c r="E53" s="16" t="n">
        <x:v>0.5</x:v>
      </x:c>
      <x:c r="F53" s="16" t="n">
        <x:v>0.3333333333333333</x:v>
      </x:c>
      <x:c r="G53" s="16" t="n">
        <x:v>0.5</x:v>
      </x:c>
    </x:row>
    <x:row r="54">
      <x:c r="A54" s="14" t="str">
        <x:v>C2 Реализуемость</x:v>
      </x:c>
      <x:c r="B54" s="14" t="str">
        <x:v>A1 Бронирование помещений</x:v>
      </x:c>
      <x:c r="C54" s="14" t="str">
        <x:v>A3 Студенческие события</x:v>
      </x:c>
      <x:c r="D54" s="16" t="n">
        <x:v>0.5</x:v>
      </x:c>
      <x:c r="E54" s="16" t="n">
        <x:v>1</x:v>
      </x:c>
      <x:c r="F54" s="16" t="n">
        <x:v>0.3333333333333333</x:v>
      </x:c>
      <x:c r="G54" s="16" t="n">
        <x:v>1</x:v>
      </x:c>
    </x:row>
    <x:row r="55">
      <x:c r="A55" s="14" t="str">
        <x:v>C2 Реализуемость</x:v>
      </x:c>
      <x:c r="B55" s="14" t="str">
        <x:v>A1 Бронирование помещений</x:v>
      </x:c>
      <x:c r="C55" s="14" t="str">
        <x:v>A4 Волонтёрские смены</x:v>
      </x:c>
      <x:c r="D55" s="16" t="n">
        <x:v>0.5</x:v>
      </x:c>
      <x:c r="E55" s="16" t="n">
        <x:v>1</x:v>
      </x:c>
      <x:c r="F55" s="16" t="n">
        <x:v>0.5</x:v>
      </x:c>
      <x:c r="G55" s="16" t="n">
        <x:v>1</x:v>
      </x:c>
    </x:row>
    <x:row r="56">
      <x:c r="A56" s="14" t="str">
        <x:v>C2 Реализуемость</x:v>
      </x:c>
      <x:c r="B56" s="14" t="str">
        <x:v>A2 Учебные группы</x:v>
      </x:c>
      <x:c r="C56" s="14" t="str">
        <x:v>A3 Студенческие события</x:v>
      </x:c>
      <x:c r="D56" s="16" t="n">
        <x:v>1</x:v>
      </x:c>
      <x:c r="E56" s="16" t="n">
        <x:v>1</x:v>
      </x:c>
      <x:c r="F56" s="16" t="n">
        <x:v>1</x:v>
      </x:c>
      <x:c r="G56" s="16" t="n">
        <x:v>1</x:v>
      </x:c>
    </x:row>
    <x:row r="57">
      <x:c r="A57" s="14" t="str">
        <x:v>C2 Реализуемость</x:v>
      </x:c>
      <x:c r="B57" s="14" t="str">
        <x:v>A2 Учебные группы</x:v>
      </x:c>
      <x:c r="C57" s="14" t="str">
        <x:v>A4 Волонтёрские смены</x:v>
      </x:c>
      <x:c r="D57" s="16" t="n">
        <x:v>2</x:v>
      </x:c>
      <x:c r="E57" s="16" t="n">
        <x:v>2</x:v>
      </x:c>
      <x:c r="F57" s="16" t="n">
        <x:v>2</x:v>
      </x:c>
      <x:c r="G57" s="16" t="n">
        <x:v>2</x:v>
      </x:c>
    </x:row>
    <x:row r="58">
      <x:c r="A58" s="14" t="str">
        <x:v>C2 Реализуемость</x:v>
      </x:c>
      <x:c r="B58" s="14" t="str">
        <x:v>A3 Студенческие события</x:v>
      </x:c>
      <x:c r="C58" s="14" t="str">
        <x:v>A4 Волонтёрские смены</x:v>
      </x:c>
      <x:c r="D58" s="16" t="n">
        <x:v>1</x:v>
      </x:c>
      <x:c r="E58" s="16" t="n">
        <x:v>1</x:v>
      </x:c>
      <x:c r="F58" s="16" t="n">
        <x:v>2</x:v>
      </x:c>
      <x:c r="G58" s="16" t="n">
        <x:v>1</x:v>
      </x:c>
    </x:row>
    <x:row r="59">
      <x:c r="A59" s="14" t="str">
        <x:v>C3 Ясность сценариев</x:v>
      </x:c>
      <x:c r="B59" s="14" t="str">
        <x:v>A1 Бронирование помещений</x:v>
      </x:c>
      <x:c r="C59" s="14" t="str">
        <x:v>A2 Учебные группы</x:v>
      </x:c>
      <x:c r="D59" s="16" t="n">
        <x:v>3</x:v>
      </x:c>
      <x:c r="E59" s="16" t="n">
        <x:v>2</x:v>
      </x:c>
      <x:c r="F59" s="16" t="n">
        <x:v>3</x:v>
      </x:c>
      <x:c r="G59" s="16" t="n">
        <x:v>1</x:v>
      </x:c>
    </x:row>
    <x:row r="60">
      <x:c r="A60" s="14" t="str">
        <x:v>C3 Ясность сценариев</x:v>
      </x:c>
      <x:c r="B60" s="14" t="str">
        <x:v>A1 Бронирование помещений</x:v>
      </x:c>
      <x:c r="C60" s="14" t="str">
        <x:v>A3 Студенческие события</x:v>
      </x:c>
      <x:c r="D60" s="16" t="n">
        <x:v>1</x:v>
      </x:c>
      <x:c r="E60" s="16" t="n">
        <x:v>1</x:v>
      </x:c>
      <x:c r="F60" s="16" t="n">
        <x:v>1</x:v>
      </x:c>
      <x:c r="G60" s="16" t="n">
        <x:v>1</x:v>
      </x:c>
    </x:row>
    <x:row r="61">
      <x:c r="A61" s="14" t="str">
        <x:v>C3 Ясность сценариев</x:v>
      </x:c>
      <x:c r="B61" s="14" t="str">
        <x:v>A1 Бронирование помещений</x:v>
      </x:c>
      <x:c r="C61" s="14" t="str">
        <x:v>A4 Волонтёрские смены</x:v>
      </x:c>
      <x:c r="D61" s="16" t="n">
        <x:v>2</x:v>
      </x:c>
      <x:c r="E61" s="16" t="n">
        <x:v>1</x:v>
      </x:c>
      <x:c r="F61" s="16" t="n">
        <x:v>1</x:v>
      </x:c>
      <x:c r="G61" s="16" t="n">
        <x:v>1</x:v>
      </x:c>
    </x:row>
    <x:row r="62">
      <x:c r="A62" s="14" t="str">
        <x:v>C3 Ясность сценариев</x:v>
      </x:c>
      <x:c r="B62" s="14" t="str">
        <x:v>A2 Учебные группы</x:v>
      </x:c>
      <x:c r="C62" s="14" t="str">
        <x:v>A3 Студенческие события</x:v>
      </x:c>
      <x:c r="D62" s="16" t="n">
        <x:v>0.3333333333333333</x:v>
      </x:c>
      <x:c r="E62" s="16" t="n">
        <x:v>0.3333333333333333</x:v>
      </x:c>
      <x:c r="F62" s="16" t="n">
        <x:v>0.5</x:v>
      </x:c>
      <x:c r="G62" s="16" t="n">
        <x:v>0.5</x:v>
      </x:c>
    </x:row>
    <x:row r="63">
      <x:c r="A63" s="14" t="str">
        <x:v>C3 Ясность сценариев</x:v>
      </x:c>
      <x:c r="B63" s="14" t="str">
        <x:v>A2 Учебные группы</x:v>
      </x:c>
      <x:c r="C63" s="14" t="str">
        <x:v>A4 Волонтёрские смены</x:v>
      </x:c>
      <x:c r="D63" s="16" t="n">
        <x:v>0.5</x:v>
      </x:c>
      <x:c r="E63" s="16" t="n">
        <x:v>0.5</x:v>
      </x:c>
      <x:c r="F63" s="16" t="n">
        <x:v>0.5</x:v>
      </x:c>
      <x:c r="G63" s="16" t="n">
        <x:v>1</x:v>
      </x:c>
    </x:row>
    <x:row r="64">
      <x:c r="A64" s="14" t="str">
        <x:v>C3 Ясность сценариев</x:v>
      </x:c>
      <x:c r="B64" s="14" t="str">
        <x:v>A3 Студенческие события</x:v>
      </x:c>
      <x:c r="C64" s="14" t="str">
        <x:v>A4 Волонтёрские смены</x:v>
      </x:c>
      <x:c r="D64" s="16" t="n">
        <x:v>2</x:v>
      </x:c>
      <x:c r="E64" s="16" t="n">
        <x:v>2</x:v>
      </x:c>
      <x:c r="F64" s="16" t="n">
        <x:v>1</x:v>
      </x:c>
      <x:c r="G64" s="16" t="n">
        <x:v>2</x:v>
      </x:c>
    </x:row>
    <x:row r="65">
      <x:c r="A65" s="14" t="str">
        <x:v>C4 Пригодность для планирования</x:v>
      </x:c>
      <x:c r="B65" s="14" t="str">
        <x:v>A1 Бронирование помещений</x:v>
      </x:c>
      <x:c r="C65" s="14" t="str">
        <x:v>A2 Учебные группы</x:v>
      </x:c>
      <x:c r="D65" s="16" t="n">
        <x:v>2</x:v>
      </x:c>
      <x:c r="E65" s="16" t="n">
        <x:v>2</x:v>
      </x:c>
      <x:c r="F65" s="16" t="n">
        <x:v>2</x:v>
      </x:c>
      <x:c r="G65" s="16" t="n">
        <x:v>2</x:v>
      </x:c>
    </x:row>
    <x:row r="66">
      <x:c r="A66" s="14" t="str">
        <x:v>C4 Пригодность для планирования</x:v>
      </x:c>
      <x:c r="B66" s="14" t="str">
        <x:v>A1 Бронирование помещений</x:v>
      </x:c>
      <x:c r="C66" s="14" t="str">
        <x:v>A3 Студенческие события</x:v>
      </x:c>
      <x:c r="D66" s="16" t="n">
        <x:v>1</x:v>
      </x:c>
      <x:c r="E66" s="16" t="n">
        <x:v>1</x:v>
      </x:c>
      <x:c r="F66" s="16" t="n">
        <x:v>1</x:v>
      </x:c>
      <x:c r="G66" s="16" t="n">
        <x:v>1</x:v>
      </x:c>
    </x:row>
    <x:row r="67">
      <x:c r="A67" s="14" t="str">
        <x:v>C4 Пригодность для планирования</x:v>
      </x:c>
      <x:c r="B67" s="14" t="str">
        <x:v>A1 Бронирование помещений</x:v>
      </x:c>
      <x:c r="C67" s="14" t="str">
        <x:v>A4 Волонтёрские смены</x:v>
      </x:c>
      <x:c r="D67" s="16" t="n">
        <x:v>0.5</x:v>
      </x:c>
      <x:c r="E67" s="16" t="n">
        <x:v>1</x:v>
      </x:c>
      <x:c r="F67" s="16" t="n">
        <x:v>0.5</x:v>
      </x:c>
      <x:c r="G67" s="16" t="n">
        <x:v>0.5</x:v>
      </x:c>
    </x:row>
    <x:row r="68">
      <x:c r="A68" s="14" t="str">
        <x:v>C4 Пригодность для планирования</x:v>
      </x:c>
      <x:c r="B68" s="14" t="str">
        <x:v>A2 Учебные группы</x:v>
      </x:c>
      <x:c r="C68" s="14" t="str">
        <x:v>A3 Студенческие события</x:v>
      </x:c>
      <x:c r="D68" s="16" t="n">
        <x:v>0.5</x:v>
      </x:c>
      <x:c r="E68" s="16" t="n">
        <x:v>0.5</x:v>
      </x:c>
      <x:c r="F68" s="16" t="n">
        <x:v>0.5</x:v>
      </x:c>
      <x:c r="G68" s="16" t="n">
        <x:v>0.5</x:v>
      </x:c>
    </x:row>
    <x:row r="69">
      <x:c r="A69" s="14" t="str">
        <x:v>C4 Пригодность для планирования</x:v>
      </x:c>
      <x:c r="B69" s="14" t="str">
        <x:v>A2 Учебные группы</x:v>
      </x:c>
      <x:c r="C69" s="14" t="str">
        <x:v>A4 Волонтёрские смены</x:v>
      </x:c>
      <x:c r="D69" s="16" t="n">
        <x:v>0.3333333333333333</x:v>
      </x:c>
      <x:c r="E69" s="16" t="n">
        <x:v>0.5</x:v>
      </x:c>
      <x:c r="F69" s="16" t="n">
        <x:v>0.3333333333333333</x:v>
      </x:c>
      <x:c r="G69" s="16" t="n">
        <x:v>0.3333333333333333</x:v>
      </x:c>
    </x:row>
    <x:row r="70">
      <x:c r="A70" s="14" t="str">
        <x:v>C4 Пригодность для планирования</x:v>
      </x:c>
      <x:c r="B70" s="14" t="str">
        <x:v>A3 Студенческие события</x:v>
      </x:c>
      <x:c r="C70" s="14" t="str">
        <x:v>A4 Волонтёрские смены</x:v>
      </x:c>
      <x:c r="D70" s="16" t="n">
        <x:v>1</x:v>
      </x:c>
      <x:c r="E70" s="16" t="n">
        <x:v>1</x:v>
      </x:c>
      <x:c r="F70" s="16" t="n">
        <x:v>1</x:v>
      </x:c>
      <x:c r="G70" s="16" t="n">
        <x:v>1</x:v>
      </x:c>
    </x:row>
  </x:sheetData>
  <x:mergeCells>
    <x:mergeCell ref="A1:O1"/>
    <x:mergeCell ref="A2:O2"/>
    <x:mergeCell ref="A4:O4"/>
    <x:mergeCell ref="D5:F5"/>
    <x:mergeCell ref="G5:I5"/>
    <x:mergeCell ref="J5:L5"/>
    <x:mergeCell ref="M5:O5"/>
    <x:mergeCell ref="A12:O12"/>
    <x:mergeCell ref="A19:O19"/>
    <x:mergeCell ref="D20:F20"/>
    <x:mergeCell ref="G20:I20"/>
    <x:mergeCell ref="J20:L20"/>
    <x:mergeCell ref="M20:O20"/>
    <x:mergeCell ref="A39:O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3" hidden="0" customWidth="1"/>
    <x:col min="2" max="2" width="3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10" t="str">
        <x:v>Нечёткий коллективный TOPSIS — расчёт по таблицам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3">
      <x:c r="A3" s="17" t="str">
        <x:v>Критерий</x:v>
      </x:c>
      <x:c r="B3" s="17" t="str">
        <x:v>Вес l</x:v>
      </x:c>
      <x:c r="C3" s="17" t="str">
        <x:v>Вес m</x:v>
      </x:c>
      <x:c r="D3" s="17" t="str">
        <x:v>Вес u</x:v>
      </x:c>
      <x:c r="E3" s="17" t="str">
        <x:v>Норм. l</x:v>
      </x:c>
      <x:c r="F3" s="17" t="str">
        <x:v>Норм. m</x:v>
      </x:c>
      <x:c r="G3" s="17" t="str">
        <x:v>Норм. u</x:v>
      </x:c>
      <x:c r="H3" s="17" t="str">
        <x:v>Делитель Uj</x:v>
      </x:c>
      <x:c r="I3" s="18"/>
      <x:c r="J3" s="18"/>
      <x:c r="K3" s="18"/>
      <x:c r="L3" s="18"/>
    </x:row>
    <x:row r="4">
      <x:c r="A4" s="18" t="str">
        <x:v>C1 Полезность</x:v>
      </x:c>
      <x:c r="B4" s="19" t="n">
        <x:f>AVERAGE('Оценки'!D7,'Оценки'!G7,'Оценки'!J7,'Оценки'!M7)</x:f>
        <x:v>7</x:v>
      </x:c>
      <x:c r="C4" s="19" t="n">
        <x:f>AVERAGE('Оценки'!E7,'Оценки'!H7,'Оценки'!K7,'Оценки'!N7)</x:f>
        <x:v>8</x:v>
      </x:c>
      <x:c r="D4" s="19" t="n">
        <x:f>AVERAGE('Оценки'!F7,'Оценки'!I7,'Оценки'!L7,'Оценки'!O7)</x:f>
        <x:v>8.75</x:v>
      </x:c>
      <x:c r="E4" s="19" t="n">
        <x:f>B4/$D$9</x:f>
        <x:v>0.2153846153846154</x:v>
      </x:c>
      <x:c r="F4" s="19" t="n">
        <x:f>C4/$D$9</x:f>
        <x:v>0.24615384615384617</x:v>
      </x:c>
      <x:c r="G4" s="19" t="n">
        <x:f>D4/$D$9</x:f>
        <x:v>0.2692307692307692</x:v>
      </x:c>
      <x:c r="H4" s="19" t="n">
        <x:f>MAX(E13,E17,E21,E25)</x:f>
        <x:v>9</x:v>
      </x:c>
      <x:c r="I4" s="19"/>
      <x:c r="J4" s="19"/>
      <x:c r="K4" s="19"/>
      <x:c r="L4" s="19"/>
    </x:row>
    <x:row r="5">
      <x:c r="A5" s="18" t="str">
        <x:v>C2 Реализуемость</x:v>
      </x:c>
      <x:c r="B5" s="19" t="n">
        <x:f>AVERAGE('Оценки'!D8,'Оценки'!G8,'Оценки'!J8,'Оценки'!M8)</x:f>
        <x:v>6.75</x:v>
      </x:c>
      <x:c r="C5" s="19" t="n">
        <x:f>AVERAGE('Оценки'!E8,'Оценки'!H8,'Оценки'!K8,'Оценки'!N8)</x:f>
        <x:v>7.75</x:v>
      </x:c>
      <x:c r="D5" s="19" t="n">
        <x:f>AVERAGE('Оценки'!F8,'Оценки'!I8,'Оценки'!L8,'Оценки'!O8)</x:f>
        <x:v>8.5</x:v>
      </x:c>
      <x:c r="E5" s="19" t="n">
        <x:f>B5/$D$9</x:f>
        <x:v>0.2076923076923077</x:v>
      </x:c>
      <x:c r="F5" s="19" t="n">
        <x:f>C5/$D$9</x:f>
        <x:v>0.23846153846153847</x:v>
      </x:c>
      <x:c r="G5" s="19" t="n">
        <x:f>D5/$D$9</x:f>
        <x:v>0.26153846153846155</x:v>
      </x:c>
      <x:c r="H5" s="19" t="n">
        <x:f>MAX(E14,E18,E22,E26)</x:f>
        <x:v>9</x:v>
      </x:c>
      <x:c r="I5" s="19"/>
      <x:c r="J5" s="19"/>
      <x:c r="K5" s="19"/>
      <x:c r="L5" s="19"/>
    </x:row>
    <x:row r="6">
      <x:c r="A6" s="18" t="str">
        <x:v>C3 Ясность сценариев</x:v>
      </x:c>
      <x:c r="B6" s="19" t="n">
        <x:f>AVERAGE('Оценки'!D9,'Оценки'!G9,'Оценки'!J9,'Оценки'!M9)</x:f>
        <x:v>5.5</x:v>
      </x:c>
      <x:c r="C6" s="19" t="n">
        <x:f>AVERAGE('Оценки'!E9,'Оценки'!H9,'Оценки'!K9,'Оценки'!N9)</x:f>
        <x:v>6.5</x:v>
      </x:c>
      <x:c r="D6" s="19" t="n">
        <x:f>AVERAGE('Оценки'!F9,'Оценки'!I9,'Оценки'!L9,'Оценки'!O9)</x:f>
        <x:v>7.5</x:v>
      </x:c>
      <x:c r="E6" s="19" t="n">
        <x:f>B6/$D$9</x:f>
        <x:v>0.16923076923076924</x:v>
      </x:c>
      <x:c r="F6" s="19" t="n">
        <x:f>C6/$D$9</x:f>
        <x:v>0.2</x:v>
      </x:c>
      <x:c r="G6" s="19" t="n">
        <x:f>D6/$D$9</x:f>
        <x:v>0.23076923076923078</x:v>
      </x:c>
      <x:c r="H6" s="19" t="n">
        <x:f>MAX(E15,E19,E23,E27)</x:f>
        <x:v>9</x:v>
      </x:c>
      <x:c r="I6" s="19"/>
      <x:c r="J6" s="19"/>
      <x:c r="K6" s="19"/>
      <x:c r="L6" s="19"/>
    </x:row>
    <x:row r="7">
      <x:c r="A7" s="18" t="str">
        <x:v>C4 Пригодность для планирования</x:v>
      </x:c>
      <x:c r="B7" s="19" t="n">
        <x:f>AVERAGE('Оценки'!D10,'Оценки'!G10,'Оценки'!J10,'Оценки'!M10)</x:f>
        <x:v>6</x:v>
      </x:c>
      <x:c r="C7" s="19" t="n">
        <x:f>AVERAGE('Оценки'!E10,'Оценки'!H10,'Оценки'!K10,'Оценки'!N10)</x:f>
        <x:v>7</x:v>
      </x:c>
      <x:c r="D7" s="19" t="n">
        <x:f>AVERAGE('Оценки'!F10,'Оценки'!I10,'Оценки'!L10,'Оценки'!O10)</x:f>
        <x:v>7.75</x:v>
      </x:c>
      <x:c r="E7" s="19" t="n">
        <x:f>B7/$D$9</x:f>
        <x:v>0.18461538461538463</x:v>
      </x:c>
      <x:c r="F7" s="19" t="n">
        <x:f>C7/$D$9</x:f>
        <x:v>0.2153846153846154</x:v>
      </x:c>
      <x:c r="G7" s="19" t="n">
        <x:f>D7/$D$9</x:f>
        <x:v>0.23846153846153847</x:v>
      </x:c>
      <x:c r="H7" s="19" t="n">
        <x:f>MAX(E16,E20,E24,E28)</x:f>
        <x:v>9</x:v>
      </x:c>
      <x:c r="I7" s="19"/>
      <x:c r="J7" s="19"/>
      <x:c r="K7" s="19"/>
      <x:c r="L7" s="19"/>
    </x:row>
    <x:row r="8">
      <x:c r="A8" s="18"/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</x:row>
    <x:row r="9">
      <x:c r="A9" s="18" t="str">
        <x:v>Сумма верхних границ весов</x:v>
      </x:c>
      <x:c r="B9" s="19"/>
      <x:c r="C9" s="19"/>
      <x:c r="D9" s="19" t="n">
        <x:f>SUM(D4:D7)</x:f>
        <x:v>32.5</x:v>
      </x:c>
      <x:c r="E9" s="19"/>
      <x:c r="F9" s="19"/>
      <x:c r="G9" s="19"/>
      <x:c r="H9" s="19"/>
      <x:c r="I9" s="19"/>
      <x:c r="J9" s="19"/>
      <x:c r="K9" s="19"/>
      <x:c r="L9" s="19"/>
    </x:row>
    <x:row r="10">
      <x:c r="A10" s="18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</x:row>
    <x:row r="11">
      <x:c r="A11" s="18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</x:row>
    <x:row r="12">
      <x:c r="A12" s="17" t="str">
        <x:v>Альтернатива</x:v>
      </x:c>
      <x:c r="B12" s="20" t="str">
        <x:v>Критерий</x:v>
      </x:c>
      <x:c r="C12" s="20" t="str">
        <x:v>l средн.</x:v>
      </x:c>
      <x:c r="D12" s="20" t="str">
        <x:v>m средн.</x:v>
      </x:c>
      <x:c r="E12" s="20" t="str">
        <x:v>u средн.</x:v>
      </x:c>
      <x:c r="F12" s="20" t="str">
        <x:v>Uj</x:v>
      </x:c>
      <x:c r="G12" s="20" t="str">
        <x:v>r l</x:v>
      </x:c>
      <x:c r="H12" s="20" t="str">
        <x:v>r m</x:v>
      </x:c>
      <x:c r="I12" s="20" t="str">
        <x:v>r u</x:v>
      </x:c>
      <x:c r="J12" s="20" t="str">
        <x:v>v l</x:v>
      </x:c>
      <x:c r="K12" s="20" t="str">
        <x:v>v m</x:v>
      </x:c>
      <x:c r="L12" s="20" t="str">
        <x:v>v u</x:v>
      </x:c>
    </x:row>
    <x:row r="13">
      <x:c r="A13" s="18" t="str">
        <x:v>A1</x:v>
      </x:c>
      <x:c r="B13" s="19" t="str">
        <x:v>C1 Полезность</x:v>
      </x:c>
      <x:c r="C13" s="19" t="n">
        <x:f>AVERAGE('Оценки'!D22,'Оценки'!G22,'Оценки'!J22,'Оценки'!M22)</x:f>
        <x:v>5.75</x:v>
      </x:c>
      <x:c r="D13" s="19" t="n">
        <x:f>AVERAGE('Оценки'!E22,'Оценки'!H22,'Оценки'!K22,'Оценки'!N22)</x:f>
        <x:v>6.75</x:v>
      </x:c>
      <x:c r="E13" s="19" t="n">
        <x:f>AVERAGE('Оценки'!F22,'Оценки'!I22,'Оценки'!L22,'Оценки'!O22)</x:f>
        <x:v>7.75</x:v>
      </x:c>
      <x:c r="F13" s="19" t="n">
        <x:f>$H$4</x:f>
        <x:v>9</x:v>
      </x:c>
      <x:c r="G13" s="19" t="n">
        <x:f>C13/F13</x:f>
        <x:v>0.6388888888888888</x:v>
      </x:c>
      <x:c r="H13" s="19" t="n">
        <x:f>D13/F13</x:f>
        <x:v>0.75</x:v>
      </x:c>
      <x:c r="I13" s="19" t="n">
        <x:f>E13/F13</x:f>
        <x:v>0.8611111111111112</x:v>
      </x:c>
      <x:c r="J13" s="19" t="n">
        <x:f>G13*$E$4</x:f>
        <x:v>0.13760683760683762</x:v>
      </x:c>
      <x:c r="K13" s="19" t="n">
        <x:f>H13*$F$4</x:f>
        <x:v>0.18461538461538463</x:v>
      </x:c>
      <x:c r="L13" s="19" t="n">
        <x:f>I13*$G$4</x:f>
        <x:v>0.23183760683760685</x:v>
      </x:c>
    </x:row>
    <x:row r="14">
      <x:c r="A14" s="18" t="str">
        <x:v>A1</x:v>
      </x:c>
      <x:c r="B14" s="19" t="str">
        <x:v>C2 Реализуемость</x:v>
      </x:c>
      <x:c r="C14" s="19" t="n">
        <x:f>AVERAGE('Оценки'!D26,'Оценки'!G26,'Оценки'!J26,'Оценки'!M26)</x:f>
        <x:v>4.5</x:v>
      </x:c>
      <x:c r="D14" s="19" t="n">
        <x:f>AVERAGE('Оценки'!E26,'Оценки'!H26,'Оценки'!K26,'Оценки'!N26)</x:f>
        <x:v>5.5</x:v>
      </x:c>
      <x:c r="E14" s="19" t="n">
        <x:f>AVERAGE('Оценки'!F26,'Оценки'!I26,'Оценки'!L26,'Оценки'!O26)</x:f>
        <x:v>6.5</x:v>
      </x:c>
      <x:c r="F14" s="19" t="n">
        <x:f>$H$5</x:f>
        <x:v>9</x:v>
      </x:c>
      <x:c r="G14" s="19" t="n">
        <x:f>C14/F14</x:f>
        <x:v>0.5</x:v>
      </x:c>
      <x:c r="H14" s="19" t="n">
        <x:f>D14/F14</x:f>
        <x:v>0.6111111111111112</x:v>
      </x:c>
      <x:c r="I14" s="19" t="n">
        <x:f>E14/F14</x:f>
        <x:v>0.7222222222222222</x:v>
      </x:c>
      <x:c r="J14" s="19" t="n">
        <x:f>G14*$E$5</x:f>
        <x:v>0.10384615384615385</x:v>
      </x:c>
      <x:c r="K14" s="19" t="n">
        <x:f>H14*$F$5</x:f>
        <x:v>0.14572649572649574</x:v>
      </x:c>
      <x:c r="L14" s="19" t="n">
        <x:f>I14*$G$5</x:f>
        <x:v>0.18888888888888888</x:v>
      </x:c>
    </x:row>
    <x:row r="15">
      <x:c r="A15" s="18" t="str">
        <x:v>A1</x:v>
      </x:c>
      <x:c r="B15" s="19" t="str">
        <x:v>C3 Ясность сценариев</x:v>
      </x:c>
      <x:c r="C15" s="19" t="n">
        <x:f>AVERAGE('Оценки'!D30,'Оценки'!G30,'Оценки'!J30,'Оценки'!M30)</x:f>
        <x:v>7.25</x:v>
      </x:c>
      <x:c r="D15" s="19" t="n">
        <x:f>AVERAGE('Оценки'!E30,'Оценки'!H30,'Оценки'!K30,'Оценки'!N30)</x:f>
        <x:v>8.25</x:v>
      </x:c>
      <x:c r="E15" s="19" t="n">
        <x:f>AVERAGE('Оценки'!F30,'Оценки'!I30,'Оценки'!L30,'Оценки'!O30)</x:f>
        <x:v>9</x:v>
      </x:c>
      <x:c r="F15" s="19" t="n">
        <x:f>$H$6</x:f>
        <x:v>9</x:v>
      </x:c>
      <x:c r="G15" s="19" t="n">
        <x:f>C15/F15</x:f>
        <x:v>0.8055555555555556</x:v>
      </x:c>
      <x:c r="H15" s="19" t="n">
        <x:f>D15/F15</x:f>
        <x:v>0.9166666666666666</x:v>
      </x:c>
      <x:c r="I15" s="19" t="n">
        <x:f>E15/F15</x:f>
        <x:v>1</x:v>
      </x:c>
      <x:c r="J15" s="19" t="n">
        <x:f>G15*$E$6</x:f>
        <x:v>0.13632478632478634</x:v>
      </x:c>
      <x:c r="K15" s="19" t="n">
        <x:f>H15*$F$6</x:f>
        <x:v>0.18333333333333335</x:v>
      </x:c>
      <x:c r="L15" s="19" t="n">
        <x:f>I15*$G$6</x:f>
        <x:v>0.23076923076923078</x:v>
      </x:c>
    </x:row>
    <x:row r="16">
      <x:c r="A16" s="18" t="str">
        <x:v>A1</x:v>
      </x:c>
      <x:c r="B16" s="19" t="str">
        <x:v>C4 Пригодность для планирования</x:v>
      </x:c>
      <x:c r="C16" s="19" t="n">
        <x:f>AVERAGE('Оценки'!D34,'Оценки'!G34,'Оценки'!J34,'Оценки'!M34)</x:f>
        <x:v>6</x:v>
      </x:c>
      <x:c r="D16" s="19" t="n">
        <x:f>AVERAGE('Оценки'!E34,'Оценки'!H34,'Оценки'!K34,'Оценки'!N34)</x:f>
        <x:v>7</x:v>
      </x:c>
      <x:c r="E16" s="19" t="n">
        <x:f>AVERAGE('Оценки'!F34,'Оценки'!I34,'Оценки'!L34,'Оценки'!O34)</x:f>
        <x:v>8</x:v>
      </x:c>
      <x:c r="F16" s="19" t="n">
        <x:f>$H$7</x:f>
        <x:v>9</x:v>
      </x:c>
      <x:c r="G16" s="19" t="n">
        <x:f>C16/F16</x:f>
        <x:v>0.6666666666666666</x:v>
      </x:c>
      <x:c r="H16" s="19" t="n">
        <x:f>D16/F16</x:f>
        <x:v>0.7777777777777778</x:v>
      </x:c>
      <x:c r="I16" s="19" t="n">
        <x:f>E16/F16</x:f>
        <x:v>0.8888888888888888</x:v>
      </x:c>
      <x:c r="J16" s="19" t="n">
        <x:f>G16*$E$7</x:f>
        <x:v>0.12307692307692308</x:v>
      </x:c>
      <x:c r="K16" s="19" t="n">
        <x:f>H16*$F$7</x:f>
        <x:v>0.16752136752136754</x:v>
      </x:c>
      <x:c r="L16" s="19" t="n">
        <x:f>I16*$G$7</x:f>
        <x:v>0.21196581196581196</x:v>
      </x:c>
    </x:row>
    <x:row r="17">
      <x:c r="A17" s="18" t="str">
        <x:v>A2</x:v>
      </x:c>
      <x:c r="B17" s="19" t="str">
        <x:v>C1 Полезность</x:v>
      </x:c>
      <x:c r="C17" s="19" t="n">
        <x:f>AVERAGE('Оценки'!D23,'Оценки'!G23,'Оценки'!J23,'Оценки'!M23)</x:f>
        <x:v>6.25</x:v>
      </x:c>
      <x:c r="D17" s="19" t="n">
        <x:f>AVERAGE('Оценки'!E23,'Оценки'!H23,'Оценки'!K23,'Оценки'!N23)</x:f>
        <x:v>7.25</x:v>
      </x:c>
      <x:c r="E17" s="19" t="n">
        <x:f>AVERAGE('Оценки'!F23,'Оценки'!I23,'Оценки'!L23,'Оценки'!O23)</x:f>
        <x:v>8.25</x:v>
      </x:c>
      <x:c r="F17" s="19" t="n">
        <x:f>$H$4</x:f>
        <x:v>9</x:v>
      </x:c>
      <x:c r="G17" s="19" t="n">
        <x:f>C17/F17</x:f>
        <x:v>0.6944444444444444</x:v>
      </x:c>
      <x:c r="H17" s="19" t="n">
        <x:f>D17/F17</x:f>
        <x:v>0.8055555555555556</x:v>
      </x:c>
      <x:c r="I17" s="19" t="n">
        <x:f>E17/F17</x:f>
        <x:v>0.9166666666666666</x:v>
      </x:c>
      <x:c r="J17" s="19" t="n">
        <x:f>G17*$E$4</x:f>
        <x:v>0.14957264957264957</x:v>
      </x:c>
      <x:c r="K17" s="19" t="n">
        <x:f>H17*$F$4</x:f>
        <x:v>0.1982905982905983</x:v>
      </x:c>
      <x:c r="L17" s="19" t="n">
        <x:f>I17*$G$4</x:f>
        <x:v>0.24679487179487178</x:v>
      </x:c>
    </x:row>
    <x:row r="18">
      <x:c r="A18" s="18" t="str">
        <x:v>A2</x:v>
      </x:c>
      <x:c r="B18" s="19" t="str">
        <x:v>C2 Реализуемость</x:v>
      </x:c>
      <x:c r="C18" s="19" t="n">
        <x:f>AVERAGE('Оценки'!D27,'Оценки'!G27,'Оценки'!J27,'Оценки'!M27)</x:f>
        <x:v>7.25</x:v>
      </x:c>
      <x:c r="D18" s="19" t="n">
        <x:f>AVERAGE('Оценки'!E27,'Оценки'!H27,'Оценки'!K27,'Оценки'!N27)</x:f>
        <x:v>8.25</x:v>
      </x:c>
      <x:c r="E18" s="19" t="n">
        <x:f>AVERAGE('Оценки'!F27,'Оценки'!I27,'Оценки'!L27,'Оценки'!O27)</x:f>
        <x:v>9</x:v>
      </x:c>
      <x:c r="F18" s="19" t="n">
        <x:f>$H$5</x:f>
        <x:v>9</x:v>
      </x:c>
      <x:c r="G18" s="19" t="n">
        <x:f>C18/F18</x:f>
        <x:v>0.8055555555555556</x:v>
      </x:c>
      <x:c r="H18" s="19" t="n">
        <x:f>D18/F18</x:f>
        <x:v>0.9166666666666666</x:v>
      </x:c>
      <x:c r="I18" s="19" t="n">
        <x:f>E18/F18</x:f>
        <x:v>1</x:v>
      </x:c>
      <x:c r="J18" s="19" t="n">
        <x:f>G18*$E$5</x:f>
        <x:v>0.16730769230769232</x:v>
      </x:c>
      <x:c r="K18" s="19" t="n">
        <x:f>H18*$F$5</x:f>
        <x:v>0.2185897435897436</x:v>
      </x:c>
      <x:c r="L18" s="19" t="n">
        <x:f>I18*$G$5</x:f>
        <x:v>0.26153846153846155</x:v>
      </x:c>
    </x:row>
    <x:row r="19">
      <x:c r="A19" s="18" t="str">
        <x:v>A2</x:v>
      </x:c>
      <x:c r="B19" s="19" t="str">
        <x:v>C3 Ясность сценариев</x:v>
      </x:c>
      <x:c r="C19" s="19" t="n">
        <x:f>AVERAGE('Оценки'!D31,'Оценки'!G31,'Оценки'!J31,'Оценки'!M31)</x:f>
        <x:v>5.25</x:v>
      </x:c>
      <x:c r="D19" s="19" t="n">
        <x:f>AVERAGE('Оценки'!E31,'Оценки'!H31,'Оценки'!K31,'Оценки'!N31)</x:f>
        <x:v>6.25</x:v>
      </x:c>
      <x:c r="E19" s="19" t="n">
        <x:f>AVERAGE('Оценки'!F31,'Оценки'!I31,'Оценки'!L31,'Оценки'!O31)</x:f>
        <x:v>7.25</x:v>
      </x:c>
      <x:c r="F19" s="19" t="n">
        <x:f>$H$6</x:f>
        <x:v>9</x:v>
      </x:c>
      <x:c r="G19" s="19" t="n">
        <x:f>C19/F19</x:f>
        <x:v>0.5833333333333334</x:v>
      </x:c>
      <x:c r="H19" s="19" t="n">
        <x:f>D19/F19</x:f>
        <x:v>0.6944444444444444</x:v>
      </x:c>
      <x:c r="I19" s="19" t="n">
        <x:f>E19/F19</x:f>
        <x:v>0.8055555555555556</x:v>
      </x:c>
      <x:c r="J19" s="19" t="n">
        <x:f>G19*$E$6</x:f>
        <x:v>0.09871794871794873</x:v>
      </x:c>
      <x:c r="K19" s="19" t="n">
        <x:f>H19*$F$6</x:f>
        <x:v>0.1388888888888889</x:v>
      </x:c>
      <x:c r="L19" s="19" t="n">
        <x:f>I19*$G$6</x:f>
        <x:v>0.1858974358974359</x:v>
      </x:c>
    </x:row>
    <x:row r="20">
      <x:c r="A20" s="18" t="str">
        <x:v>A2</x:v>
      </x:c>
      <x:c r="B20" s="19" t="str">
        <x:v>C4 Пригодность для планирования</x:v>
      </x:c>
      <x:c r="C20" s="19" t="n">
        <x:f>AVERAGE('Оценки'!D35,'Оценки'!G35,'Оценки'!J35,'Оценки'!M35)</x:f>
        <x:v>5</x:v>
      </x:c>
      <x:c r="D20" s="19" t="n">
        <x:f>AVERAGE('Оценки'!E35,'Оценки'!H35,'Оценки'!K35,'Оценки'!N35)</x:f>
        <x:v>6</x:v>
      </x:c>
      <x:c r="E20" s="19" t="n">
        <x:f>AVERAGE('Оценки'!F35,'Оценки'!I35,'Оценки'!L35,'Оценки'!O35)</x:f>
        <x:v>7</x:v>
      </x:c>
      <x:c r="F20" s="19" t="n">
        <x:f>$H$7</x:f>
        <x:v>9</x:v>
      </x:c>
      <x:c r="G20" s="19" t="n">
        <x:f>C20/F20</x:f>
        <x:v>0.5555555555555556</x:v>
      </x:c>
      <x:c r="H20" s="19" t="n">
        <x:f>D20/F20</x:f>
        <x:v>0.6666666666666666</x:v>
      </x:c>
      <x:c r="I20" s="19" t="n">
        <x:f>E20/F20</x:f>
        <x:v>0.7777777777777778</x:v>
      </x:c>
      <x:c r="J20" s="19" t="n">
        <x:f>G20*$E$7</x:f>
        <x:v>0.10256410256410257</x:v>
      </x:c>
      <x:c r="K20" s="19" t="n">
        <x:f>H20*$F$7</x:f>
        <x:v>0.14358974358974358</x:v>
      </x:c>
      <x:c r="L20" s="19" t="n">
        <x:f>I20*$G$7</x:f>
        <x:v>0.18547008547008548</x:v>
      </x:c>
    </x:row>
    <x:row r="21">
      <x:c r="A21" s="18" t="str">
        <x:v>A3</x:v>
      </x:c>
      <x:c r="B21" s="19" t="str">
        <x:v>C1 Полезность</x:v>
      </x:c>
      <x:c r="C21" s="19" t="n">
        <x:f>AVERAGE('Оценки'!D24,'Оценки'!G24,'Оценки'!J24,'Оценки'!M24)</x:f>
        <x:v>7.25</x:v>
      </x:c>
      <x:c r="D21" s="19" t="n">
        <x:f>AVERAGE('Оценки'!E24,'Оценки'!H24,'Оценки'!K24,'Оценки'!N24)</x:f>
        <x:v>8.25</x:v>
      </x:c>
      <x:c r="E21" s="19" t="n">
        <x:f>AVERAGE('Оценки'!F24,'Оценки'!I24,'Оценки'!L24,'Оценки'!O24)</x:f>
        <x:v>9</x:v>
      </x:c>
      <x:c r="F21" s="19" t="n">
        <x:f>$H$4</x:f>
        <x:v>9</x:v>
      </x:c>
      <x:c r="G21" s="19" t="n">
        <x:f>C21/F21</x:f>
        <x:v>0.8055555555555556</x:v>
      </x:c>
      <x:c r="H21" s="19" t="n">
        <x:f>D21/F21</x:f>
        <x:v>0.9166666666666666</x:v>
      </x:c>
      <x:c r="I21" s="19" t="n">
        <x:f>E21/F21</x:f>
        <x:v>1</x:v>
      </x:c>
      <x:c r="J21" s="19" t="n">
        <x:f>G21*$E$4</x:f>
        <x:v>0.17350427350427353</x:v>
      </x:c>
      <x:c r="K21" s="19" t="n">
        <x:f>H21*$F$4</x:f>
        <x:v>0.22564102564102564</x:v>
      </x:c>
      <x:c r="L21" s="19" t="n">
        <x:f>I21*$G$4</x:f>
        <x:v>0.2692307692307692</x:v>
      </x:c>
    </x:row>
    <x:row r="22">
      <x:c r="A22" s="18" t="str">
        <x:v>A3</x:v>
      </x:c>
      <x:c r="B22" s="19" t="str">
        <x:v>C2 Реализуемость</x:v>
      </x:c>
      <x:c r="C22" s="19" t="n">
        <x:f>AVERAGE('Оценки'!D28,'Оценки'!G28,'Оценки'!J28,'Оценки'!M28)</x:f>
        <x:v>6.25</x:v>
      </x:c>
      <x:c r="D22" s="19" t="n">
        <x:f>AVERAGE('Оценки'!E28,'Оценки'!H28,'Оценки'!K28,'Оценки'!N28)</x:f>
        <x:v>7.25</x:v>
      </x:c>
      <x:c r="E22" s="19" t="n">
        <x:f>AVERAGE('Оценки'!F28,'Оценки'!I28,'Оценки'!L28,'Оценки'!O28)</x:f>
        <x:v>8.25</x:v>
      </x:c>
      <x:c r="F22" s="19" t="n">
        <x:f>$H$5</x:f>
        <x:v>9</x:v>
      </x:c>
      <x:c r="G22" s="19" t="n">
        <x:f>C22/F22</x:f>
        <x:v>0.6944444444444444</x:v>
      </x:c>
      <x:c r="H22" s="19" t="n">
        <x:f>D22/F22</x:f>
        <x:v>0.8055555555555556</x:v>
      </x:c>
      <x:c r="I22" s="19" t="n">
        <x:f>E22/F22</x:f>
        <x:v>0.9166666666666666</x:v>
      </x:c>
      <x:c r="J22" s="19" t="n">
        <x:f>G22*$E$5</x:f>
        <x:v>0.14423076923076925</x:v>
      </x:c>
      <x:c r="K22" s="19" t="n">
        <x:f>H22*$F$5</x:f>
        <x:v>0.1920940170940171</x:v>
      </x:c>
      <x:c r="L22" s="19" t="n">
        <x:f>I22*$G$5</x:f>
        <x:v>0.23974358974358975</x:v>
      </x:c>
    </x:row>
    <x:row r="23">
      <x:c r="A23" s="18" t="str">
        <x:v>A3</x:v>
      </x:c>
      <x:c r="B23" s="19" t="str">
        <x:v>C3 Ясность сценариев</x:v>
      </x:c>
      <x:c r="C23" s="19" t="n">
        <x:f>AVERAGE('Оценки'!D32,'Оценки'!G32,'Оценки'!J32,'Оценки'!M32)</x:f>
        <x:v>7.25</x:v>
      </x:c>
      <x:c r="D23" s="19" t="n">
        <x:f>AVERAGE('Оценки'!E32,'Оценки'!H32,'Оценки'!K32,'Оценки'!N32)</x:f>
        <x:v>8.25</x:v>
      </x:c>
      <x:c r="E23" s="19" t="n">
        <x:f>AVERAGE('Оценки'!F32,'Оценки'!I32,'Оценки'!L32,'Оценки'!O32)</x:f>
        <x:v>9</x:v>
      </x:c>
      <x:c r="F23" s="19" t="n">
        <x:f>$H$6</x:f>
        <x:v>9</x:v>
      </x:c>
      <x:c r="G23" s="19" t="n">
        <x:f>C23/F23</x:f>
        <x:v>0.8055555555555556</x:v>
      </x:c>
      <x:c r="H23" s="19" t="n">
        <x:f>D23/F23</x:f>
        <x:v>0.9166666666666666</x:v>
      </x:c>
      <x:c r="I23" s="19" t="n">
        <x:f>E23/F23</x:f>
        <x:v>1</x:v>
      </x:c>
      <x:c r="J23" s="19" t="n">
        <x:f>G23*$E$6</x:f>
        <x:v>0.13632478632478634</x:v>
      </x:c>
      <x:c r="K23" s="19" t="n">
        <x:f>H23*$F$6</x:f>
        <x:v>0.18333333333333335</x:v>
      </x:c>
      <x:c r="L23" s="19" t="n">
        <x:f>I23*$G$6</x:f>
        <x:v>0.23076923076923078</x:v>
      </x:c>
    </x:row>
    <x:row r="24">
      <x:c r="A24" s="18" t="str">
        <x:v>A3</x:v>
      </x:c>
      <x:c r="B24" s="19" t="str">
        <x:v>C4 Пригодность для планирования</x:v>
      </x:c>
      <x:c r="C24" s="19" t="n">
        <x:f>AVERAGE('Оценки'!D36,'Оценки'!G36,'Оценки'!J36,'Оценки'!M36)</x:f>
        <x:v>7</x:v>
      </x:c>
      <x:c r="D24" s="19" t="n">
        <x:f>AVERAGE('Оценки'!E36,'Оценки'!H36,'Оценки'!K36,'Оценки'!N36)</x:f>
        <x:v>8</x:v>
      </x:c>
      <x:c r="E24" s="19" t="n">
        <x:f>AVERAGE('Оценки'!F36,'Оценки'!I36,'Оценки'!L36,'Оценки'!O36)</x:f>
        <x:v>9</x:v>
      </x:c>
      <x:c r="F24" s="19" t="n">
        <x:f>$H$7</x:f>
        <x:v>9</x:v>
      </x:c>
      <x:c r="G24" s="19" t="n">
        <x:f>C24/F24</x:f>
        <x:v>0.7777777777777778</x:v>
      </x:c>
      <x:c r="H24" s="19" t="n">
        <x:f>D24/F24</x:f>
        <x:v>0.8888888888888888</x:v>
      </x:c>
      <x:c r="I24" s="19" t="n">
        <x:f>E24/F24</x:f>
        <x:v>1</x:v>
      </x:c>
      <x:c r="J24" s="19" t="n">
        <x:f>G24*$E$7</x:f>
        <x:v>0.1435897435897436</x:v>
      </x:c>
      <x:c r="K24" s="19" t="n">
        <x:f>H24*$F$7</x:f>
        <x:v>0.19145299145299147</x:v>
      </x:c>
      <x:c r="L24" s="19" t="n">
        <x:f>I24*$G$7</x:f>
        <x:v>0.23846153846153847</x:v>
      </x:c>
    </x:row>
    <x:row r="25">
      <x:c r="A25" s="18" t="str">
        <x:v>A4</x:v>
      </x:c>
      <x:c r="B25" s="19" t="str">
        <x:v>C1 Полезность</x:v>
      </x:c>
      <x:c r="C25" s="19" t="n">
        <x:f>AVERAGE('Оценки'!D25,'Оценки'!G25,'Оценки'!J25,'Оценки'!M25)</x:f>
        <x:v>6.75</x:v>
      </x:c>
      <x:c r="D25" s="19" t="n">
        <x:f>AVERAGE('Оценки'!E25,'Оценки'!H25,'Оценки'!K25,'Оценки'!N25)</x:f>
        <x:v>7.75</x:v>
      </x:c>
      <x:c r="E25" s="19" t="n">
        <x:f>AVERAGE('Оценки'!F25,'Оценки'!I25,'Оценки'!L25,'Оценки'!O25)</x:f>
        <x:v>8.75</x:v>
      </x:c>
      <x:c r="F25" s="19" t="n">
        <x:f>$H$4</x:f>
        <x:v>9</x:v>
      </x:c>
      <x:c r="G25" s="19" t="n">
        <x:f>C25/F25</x:f>
        <x:v>0.75</x:v>
      </x:c>
      <x:c r="H25" s="19" t="n">
        <x:f>D25/F25</x:f>
        <x:v>0.8611111111111112</x:v>
      </x:c>
      <x:c r="I25" s="19" t="n">
        <x:f>E25/F25</x:f>
        <x:v>0.9722222222222222</x:v>
      </x:c>
      <x:c r="J25" s="19" t="n">
        <x:f>G25*$E$4</x:f>
        <x:v>0.16153846153846155</x:v>
      </x:c>
      <x:c r="K25" s="19" t="n">
        <x:f>H25*$F$4</x:f>
        <x:v>0.211965811965812</x:v>
      </x:c>
      <x:c r="L25" s="19" t="n">
        <x:f>I25*$G$4</x:f>
        <x:v>0.2617521367521367</x:v>
      </x:c>
    </x:row>
    <x:row r="26">
      <x:c r="A26" s="18" t="str">
        <x:v>A4</x:v>
      </x:c>
      <x:c r="B26" s="19" t="str">
        <x:v>C2 Реализуемость</x:v>
      </x:c>
      <x:c r="C26" s="19" t="n">
        <x:f>AVERAGE('Оценки'!D29,'Оценки'!G29,'Оценки'!J29,'Оценки'!M29)</x:f>
        <x:v>5</x:v>
      </x:c>
      <x:c r="D26" s="19" t="n">
        <x:f>AVERAGE('Оценки'!E29,'Оценки'!H29,'Оценки'!K29,'Оценки'!N29)</x:f>
        <x:v>6</x:v>
      </x:c>
      <x:c r="E26" s="19" t="n">
        <x:f>AVERAGE('Оценки'!F29,'Оценки'!I29,'Оценки'!L29,'Оценки'!O29)</x:f>
        <x:v>7</x:v>
      </x:c>
      <x:c r="F26" s="19" t="n">
        <x:f>$H$5</x:f>
        <x:v>9</x:v>
      </x:c>
      <x:c r="G26" s="19" t="n">
        <x:f>C26/F26</x:f>
        <x:v>0.5555555555555556</x:v>
      </x:c>
      <x:c r="H26" s="19" t="n">
        <x:f>D26/F26</x:f>
        <x:v>0.6666666666666666</x:v>
      </x:c>
      <x:c r="I26" s="19" t="n">
        <x:f>E26/F26</x:f>
        <x:v>0.7777777777777778</x:v>
      </x:c>
      <x:c r="J26" s="19" t="n">
        <x:f>G26*$E$5</x:f>
        <x:v>0.11538461538461539</x:v>
      </x:c>
      <x:c r="K26" s="19" t="n">
        <x:f>H26*$F$5</x:f>
        <x:v>0.15897435897435896</x:v>
      </x:c>
      <x:c r="L26" s="19" t="n">
        <x:f>I26*$G$5</x:f>
        <x:v>0.20341880341880345</x:v>
      </x:c>
    </x:row>
    <x:row r="27">
      <x:c r="A27" s="18" t="str">
        <x:v>A4</x:v>
      </x:c>
      <x:c r="B27" s="19" t="str">
        <x:v>C3 Ясность сценариев</x:v>
      </x:c>
      <x:c r="C27" s="19" t="n">
        <x:f>AVERAGE('Оценки'!D33,'Оценки'!G33,'Оценки'!J33,'Оценки'!M33)</x:f>
        <x:v>6.25</x:v>
      </x:c>
      <x:c r="D27" s="19" t="n">
        <x:f>AVERAGE('Оценки'!E33,'Оценки'!H33,'Оценки'!K33,'Оценки'!N33)</x:f>
        <x:v>7.25</x:v>
      </x:c>
      <x:c r="E27" s="19" t="n">
        <x:f>AVERAGE('Оценки'!F33,'Оценки'!I33,'Оценки'!L33,'Оценки'!O33)</x:f>
        <x:v>8.25</x:v>
      </x:c>
      <x:c r="F27" s="19" t="n">
        <x:f>$H$6</x:f>
        <x:v>9</x:v>
      </x:c>
      <x:c r="G27" s="19" t="n">
        <x:f>C27/F27</x:f>
        <x:v>0.6944444444444444</x:v>
      </x:c>
      <x:c r="H27" s="19" t="n">
        <x:f>D27/F27</x:f>
        <x:v>0.8055555555555556</x:v>
      </x:c>
      <x:c r="I27" s="19" t="n">
        <x:f>E27/F27</x:f>
        <x:v>0.9166666666666666</x:v>
      </x:c>
      <x:c r="J27" s="19" t="n">
        <x:f>G27*$E$6</x:f>
        <x:v>0.11752136752136752</x:v>
      </x:c>
      <x:c r="K27" s="19" t="n">
        <x:f>H27*$F$6</x:f>
        <x:v>0.16111111111111112</x:v>
      </x:c>
      <x:c r="L27" s="19" t="n">
        <x:f>I27*$G$6</x:f>
        <x:v>0.21153846153846154</x:v>
      </x:c>
    </x:row>
    <x:row r="28">
      <x:c r="A28" s="18" t="str">
        <x:v>A4</x:v>
      </x:c>
      <x:c r="B28" s="19" t="str">
        <x:v>C4 Пригодность для планирования</x:v>
      </x:c>
      <x:c r="C28" s="19" t="n">
        <x:f>AVERAGE('Оценки'!D37,'Оценки'!G37,'Оценки'!J37,'Оценки'!M37)</x:f>
        <x:v>7.75</x:v>
      </x:c>
      <x:c r="D28" s="19" t="n">
        <x:f>AVERAGE('Оценки'!E37,'Оценки'!H37,'Оценки'!K37,'Оценки'!N37)</x:f>
        <x:v>8.75</x:v>
      </x:c>
      <x:c r="E28" s="19" t="n">
        <x:f>AVERAGE('Оценки'!F37,'Оценки'!I37,'Оценки'!L37,'Оценки'!O37)</x:f>
        <x:v>9</x:v>
      </x:c>
      <x:c r="F28" s="19" t="n">
        <x:f>$H$7</x:f>
        <x:v>9</x:v>
      </x:c>
      <x:c r="G28" s="19" t="n">
        <x:f>C28/F28</x:f>
        <x:v>0.8611111111111112</x:v>
      </x:c>
      <x:c r="H28" s="19" t="n">
        <x:f>D28/F28</x:f>
        <x:v>0.9722222222222222</x:v>
      </x:c>
      <x:c r="I28" s="19" t="n">
        <x:f>E28/F28</x:f>
        <x:v>1</x:v>
      </x:c>
      <x:c r="J28" s="19" t="n">
        <x:f>G28*$E$7</x:f>
        <x:v>0.158974358974359</x:v>
      </x:c>
      <x:c r="K28" s="19" t="n">
        <x:f>H28*$F$7</x:f>
        <x:v>0.2094017094017094</x:v>
      </x:c>
      <x:c r="L28" s="19" t="n">
        <x:f>I28*$G$7</x:f>
        <x:v>0.23846153846153847</x:v>
      </x:c>
    </x:row>
    <x:row r="29">
      <x:c r="A29" s="18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</x:row>
    <x:row r="30">
      <x:c r="A30" s="18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</x:row>
    <x:row r="31">
      <x:c r="A31" s="17" t="str">
        <x:v>Критерий</x:v>
      </x:c>
      <x:c r="B31" s="20" t="str">
        <x:v>Идеал + l</x:v>
      </x:c>
      <x:c r="C31" s="20" t="str">
        <x:v>Идеал + m</x:v>
      </x:c>
      <x:c r="D31" s="20" t="str">
        <x:v>Идеал + u</x:v>
      </x:c>
      <x:c r="E31" s="20" t="str">
        <x:v>Идеал − l</x:v>
      </x:c>
      <x:c r="F31" s="20" t="str">
        <x:v>Идеал − m</x:v>
      </x:c>
      <x:c r="G31" s="20" t="str">
        <x:v>Идеал − u</x:v>
      </x:c>
      <x:c r="H31" s="19"/>
      <x:c r="I31" s="19"/>
      <x:c r="J31" s="19"/>
      <x:c r="K31" s="19"/>
      <x:c r="L31" s="19"/>
    </x:row>
    <x:row r="32">
      <x:c r="A32" s="18" t="str">
        <x:v>C1 Полезность</x:v>
      </x:c>
      <x:c r="B32" s="19" t="n">
        <x:f>MAX(J13,J17,J21,J25)</x:f>
        <x:v>0.17350427350427353</x:v>
      </x:c>
      <x:c r="C32" s="19" t="n">
        <x:f>MAX(K13,K17,K21,K25)</x:f>
        <x:v>0.22564102564102564</x:v>
      </x:c>
      <x:c r="D32" s="19" t="n">
        <x:f>MAX(L13,L17,L21,L25)</x:f>
        <x:v>0.2692307692307692</x:v>
      </x:c>
      <x:c r="E32" s="19" t="n">
        <x:f>MIN(J13,J17,J21,J25)</x:f>
        <x:v>0.13760683760683762</x:v>
      </x:c>
      <x:c r="F32" s="19" t="n">
        <x:f>MIN(K13,K17,K21,K25)</x:f>
        <x:v>0.18461538461538463</x:v>
      </x:c>
      <x:c r="G32" s="19" t="n">
        <x:f>MIN(L13,L17,L21,L25)</x:f>
        <x:v>0.23183760683760685</x:v>
      </x:c>
      <x:c r="H32" s="19"/>
      <x:c r="I32" s="19"/>
      <x:c r="J32" s="19"/>
      <x:c r="K32" s="19"/>
      <x:c r="L32" s="19"/>
    </x:row>
    <x:row r="33">
      <x:c r="A33" s="18" t="str">
        <x:v>C2 Реализуемость</x:v>
      </x:c>
      <x:c r="B33" s="19" t="n">
        <x:f>MAX(J14,J18,J22,J26)</x:f>
        <x:v>0.16730769230769232</x:v>
      </x:c>
      <x:c r="C33" s="19" t="n">
        <x:f>MAX(K14,K18,K22,K26)</x:f>
        <x:v>0.2185897435897436</x:v>
      </x:c>
      <x:c r="D33" s="19" t="n">
        <x:f>MAX(L14,L18,L22,L26)</x:f>
        <x:v>0.26153846153846155</x:v>
      </x:c>
      <x:c r="E33" s="19" t="n">
        <x:f>MIN(J14,J18,J22,J26)</x:f>
        <x:v>0.10384615384615385</x:v>
      </x:c>
      <x:c r="F33" s="19" t="n">
        <x:f>MIN(K14,K18,K22,K26)</x:f>
        <x:v>0.14572649572649574</x:v>
      </x:c>
      <x:c r="G33" s="19" t="n">
        <x:f>MIN(L14,L18,L22,L26)</x:f>
        <x:v>0.18888888888888888</x:v>
      </x:c>
      <x:c r="H33" s="19"/>
      <x:c r="I33" s="19"/>
      <x:c r="J33" s="19"/>
      <x:c r="K33" s="19"/>
      <x:c r="L33" s="19"/>
    </x:row>
    <x:row r="34">
      <x:c r="A34" s="18" t="str">
        <x:v>C3 Ясность сценариев</x:v>
      </x:c>
      <x:c r="B34" s="19" t="n">
        <x:f>MAX(J15,J19,J23,J27)</x:f>
        <x:v>0.13632478632478634</x:v>
      </x:c>
      <x:c r="C34" s="19" t="n">
        <x:f>MAX(K15,K19,K23,K27)</x:f>
        <x:v>0.18333333333333335</x:v>
      </x:c>
      <x:c r="D34" s="19" t="n">
        <x:f>MAX(L15,L19,L23,L27)</x:f>
        <x:v>0.23076923076923078</x:v>
      </x:c>
      <x:c r="E34" s="19" t="n">
        <x:f>MIN(J15,J19,J23,J27)</x:f>
        <x:v>0.09871794871794873</x:v>
      </x:c>
      <x:c r="F34" s="19" t="n">
        <x:f>MIN(K15,K19,K23,K27)</x:f>
        <x:v>0.1388888888888889</x:v>
      </x:c>
      <x:c r="G34" s="19" t="n">
        <x:f>MIN(L15,L19,L23,L27)</x:f>
        <x:v>0.1858974358974359</x:v>
      </x:c>
      <x:c r="H34" s="19"/>
      <x:c r="I34" s="19"/>
      <x:c r="J34" s="19"/>
      <x:c r="K34" s="19"/>
      <x:c r="L34" s="19"/>
    </x:row>
    <x:row r="35">
      <x:c r="A35" s="18" t="str">
        <x:v>C4 Пригодность для планирования</x:v>
      </x:c>
      <x:c r="B35" s="19" t="n">
        <x:f>MAX(J16,J20,J24,J28)</x:f>
        <x:v>0.158974358974359</x:v>
      </x:c>
      <x:c r="C35" s="19" t="n">
        <x:f>MAX(K16,K20,K24,K28)</x:f>
        <x:v>0.2094017094017094</x:v>
      </x:c>
      <x:c r="D35" s="19" t="n">
        <x:f>MAX(L16,L20,L24,L28)</x:f>
        <x:v>0.23846153846153847</x:v>
      </x:c>
      <x:c r="E35" s="19" t="n">
        <x:f>MIN(J16,J20,J24,J28)</x:f>
        <x:v>0.10256410256410257</x:v>
      </x:c>
      <x:c r="F35" s="19" t="n">
        <x:f>MIN(K16,K20,K24,K28)</x:f>
        <x:v>0.14358974358974358</x:v>
      </x:c>
      <x:c r="G35" s="19" t="n">
        <x:f>MIN(L16,L20,L24,L28)</x:f>
        <x:v>0.18547008547008548</x:v>
      </x:c>
      <x:c r="H35" s="19"/>
      <x:c r="I35" s="19"/>
      <x:c r="J35" s="19"/>
      <x:c r="K35" s="19"/>
      <x:c r="L35" s="19"/>
    </x:row>
    <x:row r="36">
      <x:c r="A36" s="18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</x:row>
    <x:row r="37">
      <x:c r="A37" s="17" t="str">
        <x:v>Альтернатива</x:v>
      </x:c>
      <x:c r="B37" s="20" t="str">
        <x:v>D+</x:v>
      </x:c>
      <x:c r="C37" s="20" t="str">
        <x:v>D−</x:v>
      </x:c>
      <x:c r="D37" s="20" t="str">
        <x:v>CC</x:v>
      </x:c>
      <x:c r="E37" s="20" t="str">
        <x:v>Место</x:v>
      </x:c>
      <x:c r="F37" s="19"/>
      <x:c r="G37" s="19"/>
      <x:c r="H37" s="19"/>
      <x:c r="I37" s="19"/>
      <x:c r="J37" s="19"/>
      <x:c r="K37" s="19"/>
      <x:c r="L37" s="19"/>
    </x:row>
    <x:row r="38">
      <x:c r="A38" s="18" t="str">
        <x:v>A1</x:v>
      </x:c>
      <x:c r="B38" s="19" t="n">
        <x:f>SQRT(((J13-B32)^2+(K13-C32)^2+(L13-D32)^2)/3)+SQRT(((J14-B33)^2+(K14-C33)^2+(L14-D33)^2)/3)+SQRT(((J15-B34)^2+(K15-C34)^2+(L15-D34)^2)/3)+SQRT(((J16-B35)^2+(K16-C35)^2+(L16-D35)^2)/3)</x:f>
        <x:v>0.14329198383208566</x:v>
      </x:c>
      <x:c r="C38" s="19" t="n">
        <x:f>SQRT(((J13-E32)^2+(K13-F32)^2+(L13-G32)^2)/3)+SQRT(((J14-E33)^2+(K14-F33)^2+(L14-G33)^2)/3)+SQRT(((J15-E34)^2+(K15-F34)^2+(L15-G34)^2)/3)+SQRT(((J16-E35)^2+(K16-F35)^2+(L16-G35)^2)/3)</x:f>
        <x:v>0.06621181747594068</x:v>
      </x:c>
      <x:c r="D38" s="19" t="n">
        <x:f>C38/(B38+C38)</x:f>
        <x:v>0.3160411269988924</x:v>
      </x:c>
      <x:c r="E38" s="21" t="n">
        <x:f>RANK(D38,$D$38:$D$41,0)</x:f>
        <x:v>4</x:v>
      </x:c>
      <x:c r="F38" s="19"/>
      <x:c r="G38" s="19"/>
      <x:c r="H38" s="19"/>
      <x:c r="I38" s="19"/>
      <x:c r="J38" s="19"/>
      <x:c r="K38" s="19"/>
      <x:c r="L38" s="19"/>
    </x:row>
    <x:row r="39">
      <x:c r="A39" s="18" t="str">
        <x:v>A2</x:v>
      </x:c>
      <x:c r="B39" s="19" t="n">
        <x:f>SQRT(((J17-B32)^2+(K17-C32)^2+(L17-D32)^2)/3)+SQRT(((J18-B33)^2+(K18-C33)^2+(L18-D33)^2)/3)+SQRT(((J19-B34)^2+(K19-C34)^2+(L19-D34)^2)/3)+SQRT(((J20-B35)^2+(K20-C35)^2+(L20-D35)^2)/3)</x:f>
        <x:v>0.1257525831869108</x:v>
      </x:c>
      <x:c r="C39" s="19" t="n">
        <x:f>SQRT(((J17-E32)^2+(K17-F32)^2+(L17-G32)^2)/3)+SQRT(((J18-E33)^2+(K18-F33)^2+(L18-G33)^2)/3)+SQRT(((J19-E34)^2+(K19-F34)^2+(L19-G34)^2)/3)+SQRT(((J20-E35)^2+(K20-F35)^2+(L20-G35)^2)/3)</x:f>
        <x:v>0.0833839763797548</x:v>
      </x:c>
      <x:c r="D39" s="19" t="n">
        <x:f>C39/(B39+C39)</x:f>
        <x:v>0.39870588170967225</x:v>
      </x:c>
      <x:c r="E39" s="21" t="n">
        <x:f>RANK(D39,$D$38:$D$41,0)</x:f>
        <x:v>3</x:v>
      </x:c>
      <x:c r="F39" s="19"/>
      <x:c r="G39" s="19"/>
      <x:c r="H39" s="19"/>
      <x:c r="I39" s="19"/>
      <x:c r="J39" s="19"/>
      <x:c r="K39" s="19"/>
      <x:c r="L39" s="19"/>
    </x:row>
    <x:row r="40">
      <x:c r="A40" s="18" t="str">
        <x:v>A3</x:v>
      </x:c>
      <x:c r="B40" s="19" t="n">
        <x:f>SQRT(((J21-B32)^2+(K21-C32)^2+(L21-D32)^2)/3)+SQRT(((J22-B33)^2+(K22-C33)^2+(L22-D33)^2)/3)+SQRT(((J23-B34)^2+(K23-C34)^2+(L23-D34)^2)/3)+SQRT(((J24-B35)^2+(K24-C35)^2+(L24-D35)^2)/3)</x:f>
        <x:v>0.037520249039616226</x:v>
      </x:c>
      <x:c r="C40" s="19" t="n">
        <x:f>SQRT(((J21-E32)^2+(K21-F32)^2+(L21-G32)^2)/3)+SQRT(((J22-E33)^2+(K22-F33)^2+(L22-G33)^2)/3)+SQRT(((J23-E34)^2+(K23-F34)^2+(L23-G34)^2)/3)+SQRT(((J24-E35)^2+(K24-F35)^2+(L24-G35)^2)/3)</x:f>
        <x:v>0.174220434654581</x:v>
      </x:c>
      <x:c r="D40" s="19" t="n">
        <x:f>C40/(B40+C40)</x:f>
        <x:v>0.8228009450757976</x:v>
      </x:c>
      <x:c r="E40" s="21" t="n">
        <x:f>RANK(D40,$D$38:$D$41,0)</x:f>
        <x:v>1</x:v>
      </x:c>
      <x:c r="F40" s="19"/>
      <x:c r="G40" s="19"/>
      <x:c r="H40" s="19"/>
      <x:c r="I40" s="19"/>
      <x:c r="J40" s="19"/>
      <x:c r="K40" s="19"/>
      <x:c r="L40" s="19"/>
    </x:row>
    <x:row r="41">
      <x:c r="A41" s="18" t="str">
        <x:v>A4</x:v>
      </x:c>
      <x:c r="B41" s="19" t="n">
        <x:f>SQRT(((J25-B32)^2+(K25-C32)^2+(L25-D32)^2)/3)+SQRT(((J26-B33)^2+(K26-C33)^2+(L26-D33)^2)/3)+SQRT(((J27-B34)^2+(K27-C34)^2+(L27-D34)^2)/3)+SQRT(((J28-B35)^2+(K28-C35)^2+(L28-D35)^2)/3)</x:f>
        <x:v>0.08813856876274956</x:v>
      </x:c>
      <x:c r="C41" s="19" t="n">
        <x:f>SQRT(((J25-E32)^2+(K25-F32)^2+(L25-G32)^2)/3)+SQRT(((J26-E33)^2+(K26-F33)^2+(L26-G33)^2)/3)+SQRT(((J27-E34)^2+(K27-F34)^2+(L27-G34)^2)/3)+SQRT(((J28-E35)^2+(K28-F35)^2+(L28-G35)^2)/3)</x:f>
        <x:v>0.12139126426123824</x:v>
      </x:c>
      <x:c r="D41" s="19" t="n">
        <x:f>C41/(B41+C41)</x:f>
        <x:v>0.579350742131985</x:v>
      </x:c>
      <x:c r="E41" s="21" t="n">
        <x:f>RANK(D41,$D$38:$D$41,0)</x:f>
        <x:v>2</x:v>
      </x:c>
      <x:c r="F41" s="19"/>
      <x:c r="G41" s="19"/>
      <x:c r="H41" s="19"/>
      <x:c r="I41" s="19"/>
      <x:c r="J41" s="19"/>
      <x:c r="K41" s="19"/>
      <x:c r="L41" s="19"/>
    </x:row>
  </x:sheetData>
  <x:mergeCells>
    <x:mergeCell ref="A1:L1"/>
    <x:mergeCell ref="A9:C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3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10" t="str">
        <x:v>Чёткий коллективный МАИ — расчёт по таблицам</x:v>
      </x:c>
      <x:c r="B1" s="10"/>
      <x:c r="C1" s="10"/>
      <x:c r="D1" s="10"/>
      <x:c r="E1" s="10"/>
      <x:c r="F1" s="10"/>
      <x:c r="G1" s="10"/>
      <x:c r="H1" s="10"/>
      <x:c r="I1" s="10"/>
    </x:row>
    <x:row r="3">
      <x:c r="A3" s="17" t="str">
        <x:v>Матрица критериев</x:v>
      </x:c>
      <x:c r="B3" s="17"/>
      <x:c r="C3" s="17"/>
      <x:c r="D3" s="17"/>
      <x:c r="E3" s="17"/>
      <x:c r="F3" s="17"/>
      <x:c r="G3" s="17"/>
      <x:c r="H3" s="17"/>
      <x:c r="I3" s="17"/>
    </x:row>
    <x:row r="4">
      <x:c r="A4" s="22" t="str">
        <x:v>Элемент</x:v>
      </x:c>
      <x:c r="B4" s="22" t="str">
        <x:v>C1 Полезность</x:v>
      </x:c>
      <x:c r="C4" s="22" t="str">
        <x:v>C2 Реализуемость</x:v>
      </x:c>
      <x:c r="D4" s="22" t="str">
        <x:v>C3 Ясность сценариев</x:v>
      </x:c>
      <x:c r="E4" s="22" t="str">
        <x:v>C4 Пригодность для планирования</x:v>
      </x:c>
      <x:c r="F4" s="22" t="str">
        <x:v>Геом. ср.</x:v>
      </x:c>
      <x:c r="G4" s="22" t="str">
        <x:v>Приоритет</x:v>
      </x:c>
      <x:c r="H4" s="22" t="str">
        <x:v>Aw</x:v>
      </x:c>
      <x:c r="I4" s="22" t="str">
        <x:v>Aw/w</x:v>
      </x:c>
    </x:row>
    <x:row r="5">
      <x:c r="A5" s="18" t="str">
        <x:v>C1 Полезность</x:v>
      </x:c>
      <x:c r="B5" s="19" t="n">
        <x:v>1</x:v>
      </x:c>
      <x:c r="C5" s="19" t="n">
        <x:f>('Оценки'!D41*'Оценки'!E41*'Оценки'!F41*'Оценки'!G41)^(1/4)</x:f>
        <x:v>1</x:v>
      </x:c>
      <x:c r="D5" s="19" t="n">
        <x:f>('Оценки'!D42*'Оценки'!E42*'Оценки'!F42*'Оценки'!G42)^(1/4)</x:f>
        <x:v>2.2133638394006434</x:v>
      </x:c>
      <x:c r="E5" s="19" t="n">
        <x:f>('Оценки'!D43*'Оценки'!E43*'Оценки'!F43*'Оценки'!G43)^(1/4)</x:f>
        <x:v>1.189207115002721</x:v>
      </x:c>
      <x:c r="F5" s="19" t="n">
        <x:f>PRODUCT(B5:E5)^(1/4)</x:f>
        <x:v>1.2737305851752865</x:v>
      </x:c>
      <x:c r="G5" s="19" t="n">
        <x:f>F5/SUM($F$5:$F$8)</x:f>
        <x:v>0.3020443386213837</x:v>
      </x:c>
      <x:c r="H5" s="19" t="n">
        <x:f>B5*$G$5+C5*$G$6+D5*$G$7+E5*$G$8</x:f>
        <x:v>1.2087443107759743</x:v>
      </x:c>
      <x:c r="I5" s="19" t="n">
        <x:f>H5/G5</x:f>
        <x:v>4.0018770631259875</x:v>
      </x:c>
    </x:row>
    <x:row r="6">
      <x:c r="A6" s="18" t="str">
        <x:v>C2 Реализуемость</x:v>
      </x:c>
      <x:c r="B6" s="19" t="n">
        <x:f>1/C5</x:f>
        <x:v>1</x:v>
      </x:c>
      <x:c r="C6" s="19" t="n">
        <x:v>1</x:v>
      </x:c>
      <x:c r="D6" s="19" t="n">
        <x:f>('Оценки'!D44*'Оценки'!E44*'Оценки'!F44*'Оценки'!G44)^(1/4)</x:f>
        <x:v>2.2133638394006434</x:v>
      </x:c>
      <x:c r="E6" s="19" t="n">
        <x:f>('Оценки'!D45*'Оценки'!E45*'Оценки'!F45*'Оценки'!G45)^(1/4)</x:f>
        <x:v>1.189207115002721</x:v>
      </x:c>
      <x:c r="F6" s="19" t="n">
        <x:f>PRODUCT(B6:E6)^(1/4)</x:f>
        <x:v>1.2737305851752865</x:v>
      </x:c>
      <x:c r="G6" s="19" t="n">
        <x:f>F6/SUM($F$5:$F$8)</x:f>
        <x:v>0.3020443386213837</x:v>
      </x:c>
      <x:c r="H6" s="19" t="n">
        <x:f>B6*$G$5+C6*$G$6+D6*$G$7+E6*$G$8</x:f>
        <x:v>1.2087443107759743</x:v>
      </x:c>
      <x:c r="I6" s="19" t="n">
        <x:f>H6/G6</x:f>
        <x:v>4.0018770631259875</x:v>
      </x:c>
    </x:row>
    <x:row r="7">
      <x:c r="A7" s="18" t="str">
        <x:v>C3 Ясность сценариев</x:v>
      </x:c>
      <x:c r="B7" s="19" t="n">
        <x:f>1/D5</x:f>
        <x:v>0.4518010018049224</x:v>
      </x:c>
      <x:c r="C7" s="19" t="n">
        <x:f>1/D6</x:f>
        <x:v>0.4518010018049224</x:v>
      </x:c>
      <x:c r="D7" s="19" t="n">
        <x:v>1</x:v>
      </x:c>
      <x:c r="E7" s="19" t="n">
        <x:f>('Оценки'!D46*'Оценки'!E46*'Оценки'!F46*'Оценки'!G46)^(1/4)</x:f>
        <x:v>0.4518010018049224</x:v>
      </x:c>
      <x:c r="F7" s="19" t="n">
        <x:f>PRODUCT(B7:E7)^(1/4)</x:f>
        <x:v>0.5510745975773502</x:v>
      </x:c>
      <x:c r="G7" s="19" t="n">
        <x:f>F7/SUM($F$5:$F$8)</x:f>
        <x:v>0.13067831164106794</x:v>
      </x:c>
      <x:c r="H7" s="19" t="n">
        <x:f>B7*$G$5+C7*$G$6+D7*$G$7+E7*$G$8</x:f>
        <x:v>0.52343872133238</x:v>
      </x:c>
      <x:c r="I7" s="19" t="n">
        <x:f>H7/G7</x:f>
        <x:v>4.005551608059498</x:v>
      </x:c>
    </x:row>
    <x:row r="8">
      <x:c r="A8" s="18" t="str">
        <x:v>C4 Пригодность для планирования</x:v>
      </x:c>
      <x:c r="B8" s="19" t="n">
        <x:f>1/E5</x:f>
        <x:v>0.8408964152537146</x:v>
      </x:c>
      <x:c r="C8" s="19" t="n">
        <x:f>1/E6</x:f>
        <x:v>0.8408964152537146</x:v>
      </x:c>
      <x:c r="D8" s="19" t="n">
        <x:f>1/E7</x:f>
        <x:v>2.2133638394006434</x:v>
      </x:c>
      <x:c r="E8" s="19" t="n">
        <x:v>1</x:v>
      </x:c>
      <x:c r="F8" s="19" t="n">
        <x:f>PRODUCT(B8:E8)^(1/4)</x:f>
        <x:v>1.118496045973822</x:v>
      </x:c>
      <x:c r="G8" s="19" t="n">
        <x:f>F8/SUM($F$5:$F$8)</x:f>
        <x:v>0.2652330111161648</x:v>
      </x:c>
      <x:c r="H8" s="19" t="n">
        <x:f>B8*$G$5+C8*$G$6+D8*$G$7+E8*$G$8</x:f>
        <x:v>1.062447663885234</x:v>
      </x:c>
      <x:c r="I8" s="19" t="n">
        <x:f>H8/G8</x:f>
        <x:v>4.005714294062405</x:v>
      </x:c>
    </x:row>
    <x:row r="9">
      <x:c r="A9" s="18"/>
      <x:c r="B9" s="19"/>
      <x:c r="C9" s="19"/>
      <x:c r="D9" s="19"/>
      <x:c r="E9" s="19"/>
      <x:c r="F9" s="19"/>
      <x:c r="G9" s="19"/>
      <x:c r="H9" s="19" t="str">
        <x:v>λmax</x:v>
      </x:c>
      <x:c r="I9" s="19" t="n">
        <x:f>AVERAGE(I5:I8)</x:f>
        <x:v>4.00375500709347</x:v>
      </x:c>
    </x:row>
    <x:row r="10">
      <x:c r="A10" s="18"/>
      <x:c r="B10" s="19"/>
      <x:c r="C10" s="19"/>
      <x:c r="D10" s="19"/>
      <x:c r="E10" s="19"/>
      <x:c r="F10" s="19"/>
      <x:c r="G10" s="19"/>
      <x:c r="H10" s="19" t="str">
        <x:v>CI</x:v>
      </x:c>
      <x:c r="I10" s="19" t="n">
        <x:f>(I9-4)/3</x:f>
        <x:v>0.0012516690311565881</x:v>
      </x:c>
    </x:row>
    <x:row r="11">
      <x:c r="A11" s="18"/>
      <x:c r="B11" s="19"/>
      <x:c r="C11" s="19"/>
      <x:c r="D11" s="19"/>
      <x:c r="E11" s="19"/>
      <x:c r="F11" s="19"/>
      <x:c r="G11" s="19"/>
      <x:c r="H11" s="19" t="str">
        <x:v>CR</x:v>
      </x:c>
      <x:c r="I11" s="19" t="n">
        <x:f>I10/0.9</x:f>
        <x:v>0.0013907433679517646</x:v>
      </x:c>
    </x:row>
    <x:row r="12">
      <x:c r="A12" s="18"/>
      <x:c r="B12" s="19"/>
      <x:c r="C12" s="19"/>
      <x:c r="D12" s="19"/>
      <x:c r="E12" s="19"/>
      <x:c r="F12" s="19"/>
      <x:c r="G12" s="19"/>
      <x:c r="H12" s="19"/>
      <x:c r="I12" s="19"/>
    </x:row>
    <x:row r="13">
      <x:c r="A13" s="17" t="str">
        <x:v>Альтернативы по C1 Полезность</x:v>
      </x:c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2" t="str">
        <x:v>Элемент</x:v>
      </x:c>
      <x:c r="B14" s="23" t="str">
        <x:v>A1 Бронирование помещений</x:v>
      </x:c>
      <x:c r="C14" s="23" t="str">
        <x:v>A2 Учебные группы</x:v>
      </x:c>
      <x:c r="D14" s="23" t="str">
        <x:v>A3 Студенческие события</x:v>
      </x:c>
      <x:c r="E14" s="23" t="str">
        <x:v>A4 Волонтёрские смены</x:v>
      </x:c>
      <x:c r="F14" s="23" t="str">
        <x:v>Геом. ср.</x:v>
      </x:c>
      <x:c r="G14" s="23" t="str">
        <x:v>Приоритет</x:v>
      </x:c>
      <x:c r="H14" s="23" t="str">
        <x:v>Aw</x:v>
      </x:c>
      <x:c r="I14" s="23" t="str">
        <x:v>Aw/w</x:v>
      </x:c>
    </x:row>
    <x:row r="15">
      <x:c r="A15" s="18" t="str">
        <x:v>A1 Бронирование помещений</x:v>
      </x:c>
      <x:c r="B15" s="19" t="n">
        <x:v>1</x:v>
      </x:c>
      <x:c r="C15" s="19" t="n">
        <x:f>('Оценки'!D47*'Оценки'!E47*'Оценки'!F47*'Оценки'!G47)^(1/4)</x:f>
        <x:v>0.8408964152537145</x:v>
      </x:c>
      <x:c r="D15" s="19" t="n">
        <x:f>('Оценки'!D48*'Оценки'!E48*'Оценки'!F48*'Оценки'!G48)^(1/4)</x:f>
        <x:v>0.537284965911771</x:v>
      </x:c>
      <x:c r="E15" s="19" t="n">
        <x:f>('Оценки'!D49*'Оценки'!E49*'Оценки'!F49*'Оценки'!G49)^(1/4)</x:f>
        <x:v>0.8408964152537145</x:v>
      </x:c>
      <x:c r="F15" s="19" t="n">
        <x:f>PRODUCT(B15:E15)^(1/4)</x:f>
        <x:v>0.7850953817383474</x:v>
      </x:c>
      <x:c r="G15" s="19" t="n">
        <x:f>F15/SUM($F$15:$F$18)</x:f>
        <x:v>0.19259070878133588</x:v>
      </x:c>
      <x:c r="H15" s="19" t="n">
        <x:f>B15*$G$15+C15*$G$16+D15*$G$17+E15*$G$18</x:f>
        <x:v>0.772472657378998</x:v>
      </x:c>
      <x:c r="I15" s="19" t="n">
        <x:f>H15/G15</x:f>
        <x:v>4.010954953471042</x:v>
      </x:c>
    </x:row>
    <x:row r="16">
      <x:c r="A16" s="18" t="str">
        <x:v>A2 Учебные группы</x:v>
      </x:c>
      <x:c r="B16" s="19" t="n">
        <x:f>1/C15</x:f>
        <x:v>1.189207115002721</x:v>
      </x:c>
      <x:c r="C16" s="19" t="n">
        <x:v>1</x:v>
      </x:c>
      <x:c r="D16" s="19" t="n">
        <x:f>('Оценки'!D50*'Оценки'!E50*'Оценки'!F50*'Оценки'!G50)^(1/4)</x:f>
        <x:v>0.5946035575013605</x:v>
      </x:c>
      <x:c r="E16" s="19" t="n">
        <x:f>('Оценки'!D51*'Оценки'!E51*'Оценки'!F51*'Оценки'!G51)^(1/4)</x:f>
        <x:v>1</x:v>
      </x:c>
      <x:c r="F16" s="19" t="n">
        <x:f>PRODUCT(B16:E16)^(1/4)</x:f>
        <x:v>0.9170040432046712</x:v>
      </x:c>
      <x:c r="G16" s="19" t="n">
        <x:f>F16/SUM($F$15:$F$18)</x:f>
        <x:v>0.22494904790434353</x:v>
      </x:c>
      <x:c r="H16" s="19" t="n">
        <x:f>B16*$G$15+C16*$G$16+D16*$G$17+E16*$G$18</x:f>
        <x:v>0.9041623930498183</x:v>
      </x:c>
      <x:c r="I16" s="19" t="n">
        <x:f>H16/G16</x:f>
        <x:v>4.019409735107218</x:v>
      </x:c>
    </x:row>
    <x:row r="17">
      <x:c r="A17" s="18" t="str">
        <x:v>A3 Студенческие события</x:v>
      </x:c>
      <x:c r="B17" s="19" t="n">
        <x:f>1/D15</x:f>
        <x:v>1.8612097182041991</x:v>
      </x:c>
      <x:c r="C17" s="19" t="n">
        <x:f>1/D16</x:f>
        <x:v>1.6817928305074292</x:v>
      </x:c>
      <x:c r="D17" s="19" t="n">
        <x:v>1</x:v>
      </x:c>
      <x:c r="E17" s="19" t="n">
        <x:f>('Оценки'!D52*'Оценки'!E52*'Оценки'!F52*'Оценки'!G52)^(1/4)</x:f>
        <x:v>1</x:v>
      </x:c>
      <x:c r="F17" s="19" t="n">
        <x:f>PRODUCT(B17:E17)^(1/4)</x:f>
        <x:v>1.3301234559744797</x:v>
      </x:c>
      <x:c r="G17" s="19" t="n">
        <x:f>F17/SUM($F$15:$F$18)</x:f>
        <x:v>0.32629082416151556</x:v>
      </x:c>
      <x:c r="H17" s="19" t="n">
        <x:f>B17*$G$15+C17*$G$16+D17*$G$17+E17*$G$18</x:f>
        <x:v>1.3192296381289748</x:v>
      </x:c>
      <x:c r="I17" s="19" t="n">
        <x:f>H17/G17</x:f>
        <x:v>4.043109828537347</x:v>
      </x:c>
    </x:row>
    <x:row r="18">
      <x:c r="A18" s="18" t="str">
        <x:v>A4 Волонтёрские смены</x:v>
      </x:c>
      <x:c r="B18" s="19" t="n">
        <x:f>1/E15</x:f>
        <x:v>1.189207115002721</x:v>
      </x:c>
      <x:c r="C18" s="19" t="n">
        <x:f>1/E16</x:f>
        <x:v>1</x:v>
      </x:c>
      <x:c r="D18" s="19" t="n">
        <x:f>1/E17</x:f>
        <x:v>1</x:v>
      </x:c>
      <x:c r="E18" s="19" t="n">
        <x:v>1</x:v>
      </x:c>
      <x:c r="F18" s="19" t="n">
        <x:f>PRODUCT(B18:E18)^(1/4)</x:f>
        <x:v>1.0442737824274138</x:v>
      </x:c>
      <x:c r="G18" s="19" t="n">
        <x:f>F18/SUM($F$15:$F$18)</x:f>
        <x:v>0.256169419152805</x:v>
      </x:c>
      <x:c r="H18" s="19" t="n">
        <x:f>B18*$G$15+C18*$G$16+D18*$G$17+E18*$G$18</x:f>
        <x:v>1.0364395323848457</x:v>
      </x:c>
      <x:c r="I18" s="19" t="n">
        <x:f>H18/G18</x:f>
        <x:v>4.045914363285532</x:v>
      </x:c>
    </x:row>
    <x:row r="19">
      <x:c r="A19" s="18"/>
      <x:c r="B19" s="19"/>
      <x:c r="C19" s="19"/>
      <x:c r="D19" s="19"/>
      <x:c r="E19" s="19"/>
      <x:c r="F19" s="19"/>
      <x:c r="G19" s="19"/>
      <x:c r="H19" s="19" t="str">
        <x:v>λmax</x:v>
      </x:c>
      <x:c r="I19" s="19" t="n">
        <x:f>AVERAGE(I15:I18)</x:f>
        <x:v>4.029847220100285</x:v>
      </x:c>
    </x:row>
    <x:row r="20">
      <x:c r="A20" s="18"/>
      <x:c r="B20" s="19"/>
      <x:c r="C20" s="19"/>
      <x:c r="D20" s="19"/>
      <x:c r="E20" s="19"/>
      <x:c r="F20" s="19"/>
      <x:c r="G20" s="19"/>
      <x:c r="H20" s="19" t="str">
        <x:v>CI</x:v>
      </x:c>
      <x:c r="I20" s="19" t="n">
        <x:f>(I19-4)/3</x:f>
        <x:v>0.009949073366761615</x:v>
      </x:c>
    </x:row>
    <x:row r="21">
      <x:c r="A21" s="18"/>
      <x:c r="B21" s="19"/>
      <x:c r="C21" s="19"/>
      <x:c r="D21" s="19"/>
      <x:c r="E21" s="19"/>
      <x:c r="F21" s="19"/>
      <x:c r="G21" s="19"/>
      <x:c r="H21" s="19" t="str">
        <x:v>CR</x:v>
      </x:c>
      <x:c r="I21" s="19" t="n">
        <x:f>I20/0.9</x:f>
        <x:v>0.01105452596306846</x:v>
      </x:c>
    </x:row>
    <x:row r="22">
      <x:c r="A22" s="18"/>
      <x:c r="B22" s="19"/>
      <x:c r="C22" s="19"/>
      <x:c r="D22" s="19"/>
      <x:c r="E22" s="19"/>
      <x:c r="F22" s="19"/>
      <x:c r="G22" s="19"/>
      <x:c r="H22" s="19"/>
      <x:c r="I22" s="19"/>
    </x:row>
    <x:row r="23">
      <x:c r="A23" s="17" t="str">
        <x:v>Альтернативы по C2 Реализуемость</x:v>
      </x:c>
      <x:c r="B23" s="20"/>
      <x:c r="C23" s="20"/>
      <x:c r="D23" s="20"/>
      <x:c r="E23" s="20"/>
      <x:c r="F23" s="20"/>
      <x:c r="G23" s="20"/>
      <x:c r="H23" s="20"/>
      <x:c r="I23" s="20"/>
    </x:row>
    <x:row r="24">
      <x:c r="A24" s="22" t="str">
        <x:v>Элемент</x:v>
      </x:c>
      <x:c r="B24" s="23" t="str">
        <x:v>A1 Бронирование помещений</x:v>
      </x:c>
      <x:c r="C24" s="23" t="str">
        <x:v>A2 Учебные группы</x:v>
      </x:c>
      <x:c r="D24" s="23" t="str">
        <x:v>A3 Студенческие события</x:v>
      </x:c>
      <x:c r="E24" s="23" t="str">
        <x:v>A4 Волонтёрские смены</x:v>
      </x:c>
      <x:c r="F24" s="23" t="str">
        <x:v>Геом. ср.</x:v>
      </x:c>
      <x:c r="G24" s="23" t="str">
        <x:v>Приоритет</x:v>
      </x:c>
      <x:c r="H24" s="23" t="str">
        <x:v>Aw</x:v>
      </x:c>
      <x:c r="I24" s="23" t="str">
        <x:v>Aw/w</x:v>
      </x:c>
    </x:row>
    <x:row r="25">
      <x:c r="A25" s="18" t="str">
        <x:v>A1 Бронирование помещений</x:v>
      </x:c>
      <x:c r="B25" s="19" t="n">
        <x:v>1</x:v>
      </x:c>
      <x:c r="C25" s="19" t="n">
        <x:f>('Оценки'!D53*'Оценки'!E53*'Оценки'!F53*'Оценки'!G53)^(1/4)</x:f>
        <x:v>0.408248290463863</x:v>
      </x:c>
      <x:c r="D25" s="19" t="n">
        <x:f>('Оценки'!D54*'Оценки'!E54*'Оценки'!F54*'Оценки'!G54)^(1/4)</x:f>
        <x:v>0.6389431042462724</x:v>
      </x:c>
      <x:c r="E25" s="19" t="n">
        <x:f>('Оценки'!D55*'Оценки'!E55*'Оценки'!F55*'Оценки'!G55)^(1/4)</x:f>
        <x:v>0.7071067811865476</x:v>
      </x:c>
      <x:c r="F25" s="19" t="n">
        <x:f>PRODUCT(B25:E25)^(1/4)</x:f>
        <x:v>0.6553418323362462</x:v>
      </x:c>
      <x:c r="G25" s="19" t="n">
        <x:f>F25/SUM($F$25:$F$28)</x:f>
        <x:v>0.1564352183077154</x:v>
      </x:c>
      <x:c r="H25" s="19" t="n">
        <x:f>B25*$G$25+C25*$G$26+D25*$G$27+E25*$G$28</x:f>
        <x:v>0.6277855641305305</x:v>
      </x:c>
      <x:c r="I25" s="19" t="n">
        <x:f>H25/G25</x:f>
        <x:v>4.013070527990998</x:v>
      </x:c>
    </x:row>
    <x:row r="26">
      <x:c r="A26" s="18" t="str">
        <x:v>A2 Учебные группы</x:v>
      </x:c>
      <x:c r="B26" s="19" t="n">
        <x:f>1/C25</x:f>
        <x:v>2.449489742783178</x:v>
      </x:c>
      <x:c r="C26" s="19" t="n">
        <x:v>1</x:v>
      </x:c>
      <x:c r="D26" s="19" t="n">
        <x:f>('Оценки'!D56*'Оценки'!E56*'Оценки'!F56*'Оценки'!G56)^(1/4)</x:f>
        <x:v>1</x:v>
      </x:c>
      <x:c r="E26" s="19" t="n">
        <x:f>('Оценки'!D57*'Оценки'!E57*'Оценки'!F57*'Оценки'!G57)^(1/4)</x:f>
        <x:v>2</x:v>
      </x:c>
      <x:c r="F26" s="19" t="n">
        <x:f>PRODUCT(B26:E26)^(1/4)</x:f>
        <x:v>1.4877378261644902</x:v>
      </x:c>
      <x:c r="G26" s="19" t="n">
        <x:f>F26/SUM($F$25:$F$28)</x:f>
        <x:v>0.3551346490288984</x:v>
      </x:c>
      <x:c r="H26" s="19" t="n">
        <x:f>B26*$G$25+C26*$G$26+D26*$G$27+E26*$G$28</x:f>
        <x:v>1.43636680416261</x:v>
      </x:c>
      <x:c r="I26" s="19" t="n">
        <x:f>H26/G26</x:f>
        <x:v>4.044569596603142</x:v>
      </x:c>
    </x:row>
    <x:row r="27">
      <x:c r="A27" s="18" t="str">
        <x:v>A3 Студенческие события</x:v>
      </x:c>
      <x:c r="B27" s="19" t="n">
        <x:f>1/D25</x:f>
        <x:v>1.5650845800732873</x:v>
      </x:c>
      <x:c r="C27" s="19" t="n">
        <x:f>1/D26</x:f>
        <x:v>1</x:v>
      </x:c>
      <x:c r="D27" s="19" t="n">
        <x:v>1</x:v>
      </x:c>
      <x:c r="E27" s="19" t="n">
        <x:f>('Оценки'!D58*'Оценки'!E58*'Оценки'!F58*'Оценки'!G58)^(1/4)</x:f>
        <x:v>1.189207115002721</x:v>
      </x:c>
      <x:c r="F27" s="19" t="n">
        <x:f>PRODUCT(B27:E27)^(1/4)</x:f>
        <x:v>1.1680160965591895</x:v>
      </x:c>
      <x:c r="G27" s="19" t="n">
        <x:f>F27/SUM($F$25:$F$28)</x:f>
        <x:v>0.278814572847857</x:v>
      </x:c>
      <x:c r="H27" s="19" t="n">
        <x:f>B27*$G$25+C27*$G$26+D27*$G$27+E27*$G$28</x:f>
        <x:v>1.128059884978465</x:v>
      </x:c>
      <x:c r="I27" s="19" t="n">
        <x:f>H27/G27</x:f>
        <x:v>4.045914363285533</x:v>
      </x:c>
    </x:row>
    <x:row r="28">
      <x:c r="A28" s="18" t="str">
        <x:v>A4 Волонтёрские смены</x:v>
      </x:c>
      <x:c r="B28" s="19" t="n">
        <x:f>1/E25</x:f>
        <x:v>1.414213562373095</x:v>
      </x:c>
      <x:c r="C28" s="19" t="n">
        <x:f>1/E26</x:f>
        <x:v>0.5</x:v>
      </x:c>
      <x:c r="D28" s="19" t="n">
        <x:f>1/E27</x:f>
        <x:v>0.8408964152537146</x:v>
      </x:c>
      <x:c r="E28" s="19" t="n">
        <x:v>1</x:v>
      </x:c>
      <x:c r="F28" s="19" t="n">
        <x:f>PRODUCT(B28:E28)^(1/4)</x:f>
        <x:v>0.8781260801866497</x:v>
      </x:c>
      <x:c r="G28" s="19" t="n">
        <x:f>F28/SUM($F$25:$F$28)</x:f>
        <x:v>0.20961555981552923</x:v>
      </x:c>
      <x:c r="H28" s="19" t="n">
        <x:f>B28*$G$25+C28*$G$26+D28*$G$27+E28*$G$28</x:f>
        <x:v>0.8428698665218041</x:v>
      </x:c>
      <x:c r="I28" s="19" t="n">
        <x:f>H28/G28</x:f>
        <x:v>4.02102719504013</x:v>
      </x:c>
    </x:row>
    <x:row r="29">
      <x:c r="A29" s="18"/>
      <x:c r="B29" s="19"/>
      <x:c r="C29" s="19"/>
      <x:c r="D29" s="19"/>
      <x:c r="E29" s="19"/>
      <x:c r="F29" s="19"/>
      <x:c r="G29" s="19"/>
      <x:c r="H29" s="19" t="str">
        <x:v>λmax</x:v>
      </x:c>
      <x:c r="I29" s="19" t="n">
        <x:f>AVERAGE(I25:I28)</x:f>
        <x:v>4.031145420729951</x:v>
      </x:c>
    </x:row>
    <x:row r="30">
      <x:c r="A30" s="18"/>
      <x:c r="B30" s="19"/>
      <x:c r="C30" s="19"/>
      <x:c r="D30" s="19"/>
      <x:c r="E30" s="19"/>
      <x:c r="F30" s="19"/>
      <x:c r="G30" s="19"/>
      <x:c r="H30" s="19" t="str">
        <x:v>CI</x:v>
      </x:c>
      <x:c r="I30" s="19" t="n">
        <x:f>(I29-4)/3</x:f>
        <x:v>0.010381806909983618</x:v>
      </x:c>
    </x:row>
    <x:row r="31">
      <x:c r="A31" s="18"/>
      <x:c r="B31" s="19"/>
      <x:c r="C31" s="19"/>
      <x:c r="D31" s="19"/>
      <x:c r="E31" s="19"/>
      <x:c r="F31" s="19"/>
      <x:c r="G31" s="19"/>
      <x:c r="H31" s="19" t="str">
        <x:v>CR</x:v>
      </x:c>
      <x:c r="I31" s="19" t="n">
        <x:f>I30/0.9</x:f>
        <x:v>0.011535341011092909</x:v>
      </x:c>
    </x:row>
    <x:row r="32">
      <x:c r="A32" s="18"/>
      <x:c r="B32" s="19"/>
      <x:c r="C32" s="19"/>
      <x:c r="D32" s="19"/>
      <x:c r="E32" s="19"/>
      <x:c r="F32" s="19"/>
      <x:c r="G32" s="19"/>
      <x:c r="H32" s="19"/>
      <x:c r="I32" s="19"/>
    </x:row>
    <x:row r="33">
      <x:c r="A33" s="17" t="str">
        <x:v>Альтернативы по C3 Ясность сценариев</x:v>
      </x:c>
      <x:c r="B33" s="20"/>
      <x:c r="C33" s="20"/>
      <x:c r="D33" s="20"/>
      <x:c r="E33" s="20"/>
      <x:c r="F33" s="20"/>
      <x:c r="G33" s="20"/>
      <x:c r="H33" s="20"/>
      <x:c r="I33" s="20"/>
    </x:row>
    <x:row r="34">
      <x:c r="A34" s="22" t="str">
        <x:v>Элемент</x:v>
      </x:c>
      <x:c r="B34" s="23" t="str">
        <x:v>A1 Бронирование помещений</x:v>
      </x:c>
      <x:c r="C34" s="23" t="str">
        <x:v>A2 Учебные группы</x:v>
      </x:c>
      <x:c r="D34" s="23" t="str">
        <x:v>A3 Студенческие события</x:v>
      </x:c>
      <x:c r="E34" s="23" t="str">
        <x:v>A4 Волонтёрские смены</x:v>
      </x:c>
      <x:c r="F34" s="23" t="str">
        <x:v>Геом. ср.</x:v>
      </x:c>
      <x:c r="G34" s="23" t="str">
        <x:v>Приоритет</x:v>
      </x:c>
      <x:c r="H34" s="23" t="str">
        <x:v>Aw</x:v>
      </x:c>
      <x:c r="I34" s="23" t="str">
        <x:v>Aw/w</x:v>
      </x:c>
    </x:row>
    <x:row r="35">
      <x:c r="A35" s="18" t="str">
        <x:v>A1 Бронирование помещений</x:v>
      </x:c>
      <x:c r="B35" s="19" t="n">
        <x:v>1</x:v>
      </x:c>
      <x:c r="C35" s="19" t="n">
        <x:f>('Оценки'!D59*'Оценки'!E59*'Оценки'!F59*'Оценки'!G59)^(1/4)</x:f>
        <x:v>2.0597671439071177</x:v>
      </x:c>
      <x:c r="D35" s="19" t="n">
        <x:f>('Оценки'!D60*'Оценки'!E60*'Оценки'!F60*'Оценки'!G60)^(1/4)</x:f>
        <x:v>1</x:v>
      </x:c>
      <x:c r="E35" s="19" t="n">
        <x:f>('Оценки'!D61*'Оценки'!E61*'Оценки'!F61*'Оценки'!G61)^(1/4)</x:f>
        <x:v>1.189207115002721</x:v>
      </x:c>
      <x:c r="F35" s="19" t="n">
        <x:f>PRODUCT(B35:E35)^(1/4)</x:f>
        <x:v>1.2510334048590739</x:v>
      </x:c>
      <x:c r="G35" s="19" t="n">
        <x:f>F35/SUM($F$35:$F$38)</x:f>
        <x:v>0.2965087300100307</x:v>
      </x:c>
      <x:c r="H35" s="19" t="n">
        <x:f>B35*$G$35+C35*$G$36+D35*$G$37+E35*$G$38</x:f>
        <x:v>1.1901106174544376</x:v>
      </x:c>
      <x:c r="I35" s="19" t="n">
        <x:f>H35/G35</x:f>
        <x:v>4.013745623658963</x:v>
      </x:c>
    </x:row>
    <x:row r="36">
      <x:c r="A36" s="18" t="str">
        <x:v>A2 Учебные группы</x:v>
      </x:c>
      <x:c r="B36" s="19" t="n">
        <x:f>1/C35</x:f>
        <x:v>0.48549177170732344</x:v>
      </x:c>
      <x:c r="C36" s="19" t="n">
        <x:v>1</x:v>
      </x:c>
      <x:c r="D36" s="19" t="n">
        <x:f>('Оценки'!D62*'Оценки'!E62*'Оценки'!F62*'Оценки'!G62)^(1/4)</x:f>
        <x:v>0.408248290463863</x:v>
      </x:c>
      <x:c r="E36" s="19" t="n">
        <x:f>('Оценки'!D63*'Оценки'!E63*'Оценки'!F63*'Оценки'!G63)^(1/4)</x:f>
        <x:v>0.5946035575013605</x:v>
      </x:c>
      <x:c r="F36" s="19" t="n">
        <x:f>PRODUCT(B36:E36)^(1/4)</x:f>
        <x:v>0.5859134099715756</x:v>
      </x:c>
      <x:c r="G36" s="19" t="n">
        <x:f>F36/SUM($F$35:$F$38)</x:f>
        <x:v>0.138867947419908</x:v>
      </x:c>
      <x:c r="H36" s="19" t="n">
        <x:f>B36*$G$35+C36*$G$36+D36*$G$37+E36*$G$38</x:f>
        <x:v>0.5556226690229409</x:v>
      </x:c>
      <x:c r="I36" s="19" t="n">
        <x:f>H36/G36</x:f>
        <x:v>4.001086495092008</x:v>
      </x:c>
    </x:row>
    <x:row r="37">
      <x:c r="A37" s="18" t="str">
        <x:v>A3 Студенческие события</x:v>
      </x:c>
      <x:c r="B37" s="19" t="n">
        <x:f>1/D35</x:f>
        <x:v>1</x:v>
      </x:c>
      <x:c r="C37" s="19" t="n">
        <x:f>1/D36</x:f>
        <x:v>2.449489742783178</x:v>
      </x:c>
      <x:c r="D37" s="19" t="n">
        <x:v>1</x:v>
      </x:c>
      <x:c r="E37" s="19" t="n">
        <x:f>('Оценки'!D64*'Оценки'!E64*'Оценки'!F64*'Оценки'!G64)^(1/4)</x:f>
        <x:v>1.681792830507429</x:v>
      </x:c>
      <x:c r="F37" s="19" t="n">
        <x:f>PRODUCT(B37:E37)^(1/4)</x:f>
        <x:v>1.4246626231544801</x:v>
      </x:c>
      <x:c r="G37" s="19" t="n">
        <x:f>F37/SUM($F$35:$F$38)</x:f>
        <x:v>0.33766077184156335</x:v>
      </x:c>
      <x:c r="H37" s="19" t="n">
        <x:f>B37*$G$35+C37*$G$36+D37*$G$37+E37*$G$38</x:f>
        <x:v>1.3560291052668787</x:v>
      </x:c>
      <x:c r="I37" s="19" t="n">
        <x:f>H37/G37</x:f>
        <x:v>4.015950973135703</x:v>
      </x:c>
    </x:row>
    <x:row r="38">
      <x:c r="A38" s="18" t="str">
        <x:v>A4 Волонтёрские смены</x:v>
      </x:c>
      <x:c r="B38" s="19" t="n">
        <x:f>1/E35</x:f>
        <x:v>0.8408964152537146</x:v>
      </x:c>
      <x:c r="C38" s="19" t="n">
        <x:f>1/E36</x:f>
        <x:v>1.6817928305074292</x:v>
      </x:c>
      <x:c r="D38" s="19" t="n">
        <x:f>1/E37</x:f>
        <x:v>0.5946035575013605</x:v>
      </x:c>
      <x:c r="E38" s="19" t="n">
        <x:v>1</x:v>
      </x:c>
      <x:c r="F38" s="19" t="n">
        <x:f>PRODUCT(B38:E38)^(1/4)</x:f>
        <x:v>0.9576032806985737</x:v>
      </x:c>
      <x:c r="G38" s="19" t="n">
        <x:f>F38/SUM($F$35:$F$38)</x:f>
        <x:v>0.22696255072849794</x:v>
      </x:c>
      <x:c r="H38" s="19" t="n">
        <x:f>B38*$G$35+C38*$G$36+D38*$G$37+E38*$G$38</x:f>
        <x:v>0.9106170934090969</x:v>
      </x:c>
      <x:c r="I38" s="19" t="n">
        <x:f>H38/G38</x:f>
        <x:v>4.012190956112469</x:v>
      </x:c>
    </x:row>
    <x:row r="39">
      <x:c r="A39" s="18"/>
      <x:c r="B39" s="19"/>
      <x:c r="C39" s="19"/>
      <x:c r="D39" s="19"/>
      <x:c r="E39" s="19"/>
      <x:c r="F39" s="19"/>
      <x:c r="G39" s="19"/>
      <x:c r="H39" s="19" t="str">
        <x:v>λmax</x:v>
      </x:c>
      <x:c r="I39" s="19" t="n">
        <x:f>AVERAGE(I35:I38)</x:f>
        <x:v>4.010743511999785</x:v>
      </x:c>
    </x:row>
    <x:row r="40">
      <x:c r="A40" s="18"/>
      <x:c r="B40" s="19"/>
      <x:c r="C40" s="19"/>
      <x:c r="D40" s="19"/>
      <x:c r="E40" s="19"/>
      <x:c r="F40" s="19"/>
      <x:c r="G40" s="19"/>
      <x:c r="H40" s="19" t="str">
        <x:v>CI</x:v>
      </x:c>
      <x:c r="I40" s="19" t="n">
        <x:f>(I39-4)/3</x:f>
        <x:v>0.003581170666595135</x:v>
      </x:c>
    </x:row>
    <x:row r="41">
      <x:c r="A41" s="18"/>
      <x:c r="B41" s="19"/>
      <x:c r="C41" s="19"/>
      <x:c r="D41" s="19"/>
      <x:c r="E41" s="19"/>
      <x:c r="F41" s="19"/>
      <x:c r="G41" s="19"/>
      <x:c r="H41" s="19" t="str">
        <x:v>CR</x:v>
      </x:c>
      <x:c r="I41" s="19" t="n">
        <x:f>I40/0.9</x:f>
        <x:v>0.003979078518439039</x:v>
      </x:c>
    </x:row>
    <x:row r="42">
      <x:c r="A42" s="18"/>
      <x:c r="B42" s="19"/>
      <x:c r="C42" s="19"/>
      <x:c r="D42" s="19"/>
      <x:c r="E42" s="19"/>
      <x:c r="F42" s="19"/>
      <x:c r="G42" s="19"/>
      <x:c r="H42" s="19"/>
      <x:c r="I42" s="19"/>
    </x:row>
    <x:row r="43">
      <x:c r="A43" s="17" t="str">
        <x:v>Альтернативы по C4 Пригодность для планирования</x:v>
      </x:c>
      <x:c r="B43" s="20"/>
      <x:c r="C43" s="20"/>
      <x:c r="D43" s="20"/>
      <x:c r="E43" s="20"/>
      <x:c r="F43" s="20"/>
      <x:c r="G43" s="20"/>
      <x:c r="H43" s="20"/>
      <x:c r="I43" s="20"/>
    </x:row>
    <x:row r="44">
      <x:c r="A44" s="22" t="str">
        <x:v>Элемент</x:v>
      </x:c>
      <x:c r="B44" s="23" t="str">
        <x:v>A1 Бронирование помещений</x:v>
      </x:c>
      <x:c r="C44" s="23" t="str">
        <x:v>A2 Учебные группы</x:v>
      </x:c>
      <x:c r="D44" s="23" t="str">
        <x:v>A3 Студенческие события</x:v>
      </x:c>
      <x:c r="E44" s="23" t="str">
        <x:v>A4 Волонтёрские смены</x:v>
      </x:c>
      <x:c r="F44" s="23" t="str">
        <x:v>Геом. ср.</x:v>
      </x:c>
      <x:c r="G44" s="23" t="str">
        <x:v>Приоритет</x:v>
      </x:c>
      <x:c r="H44" s="23" t="str">
        <x:v>Aw</x:v>
      </x:c>
      <x:c r="I44" s="23" t="str">
        <x:v>Aw/w</x:v>
      </x:c>
    </x:row>
    <x:row r="45">
      <x:c r="A45" s="18" t="str">
        <x:v>A1 Бронирование помещений</x:v>
      </x:c>
      <x:c r="B45" s="19" t="n">
        <x:v>1</x:v>
      </x:c>
      <x:c r="C45" s="19" t="n">
        <x:f>('Оценки'!D65*'Оценки'!E65*'Оценки'!F65*'Оценки'!G65)^(1/4)</x:f>
        <x:v>2</x:v>
      </x:c>
      <x:c r="D45" s="19" t="n">
        <x:f>('Оценки'!D66*'Оценки'!E66*'Оценки'!F66*'Оценки'!G66)^(1/4)</x:f>
        <x:v>1</x:v>
      </x:c>
      <x:c r="E45" s="19" t="n">
        <x:f>('Оценки'!D67*'Оценки'!E67*'Оценки'!F67*'Оценки'!G67)^(1/4)</x:f>
        <x:v>0.5946035575013605</x:v>
      </x:c>
      <x:c r="F45" s="19" t="n">
        <x:f>PRODUCT(B45:E45)^(1/4)</x:f>
        <x:v>1.0442737824274138</x:v>
      </x:c>
      <x:c r="G45" s="19" t="n">
        <x:f>F45/SUM($F$45:$F$48)</x:f>
        <x:v>0.24595554429057037</x:v>
      </x:c>
      <x:c r="H45" s="19" t="n">
        <x:f>B45*$G$45+C45*$G$46+D45*$G$47+E45*$G$48</x:f>
        <x:v>0.9902723017559858</x:v>
      </x:c>
      <x:c r="I45" s="19" t="n">
        <x:f>H45/G45</x:f>
        <x:v>4.026224757861462</x:v>
      </x:c>
    </x:row>
    <x:row r="46">
      <x:c r="A46" s="18" t="str">
        <x:v>A2 Учебные группы</x:v>
      </x:c>
      <x:c r="B46" s="19" t="n">
        <x:f>1/C45</x:f>
        <x:v>0.5</x:v>
      </x:c>
      <x:c r="C46" s="19" t="n">
        <x:v>1</x:v>
      </x:c>
      <x:c r="D46" s="19" t="n">
        <x:f>('Оценки'!D68*'Оценки'!E68*'Оценки'!F68*'Оценки'!G68)^(1/4)</x:f>
        <x:v>0.5</x:v>
      </x:c>
      <x:c r="E46" s="19" t="n">
        <x:f>('Оценки'!D69*'Оценки'!E69*'Оценки'!F69*'Оценки'!G69)^(1/4)</x:f>
        <x:v>0.36889397323344053</x:v>
      </x:c>
      <x:c r="F46" s="19" t="n">
        <x:f>PRODUCT(B46:E46)^(1/4)</x:f>
        <x:v>0.5510745975773502</x:v>
      </x:c>
      <x:c r="G46" s="19" t="n">
        <x:f>F46/SUM($F$45:$F$48)</x:f>
        <x:v>0.1297934075073511</x:v>
      </x:c>
      <x:c r="H46" s="19" t="n">
        <x:f>B46*$G$45+C46*$G$46+D46*$G$47+E46*$G$48</x:f>
        <x:v>0.5197752968848921</x:v>
      </x:c>
      <x:c r="I46" s="19" t="n">
        <x:f>H46/G46</x:f>
        <x:v>4.00463557330871</x:v>
      </x:c>
    </x:row>
    <x:row r="47">
      <x:c r="A47" s="18" t="str">
        <x:v>A3 Студенческие события</x:v>
      </x:c>
      <x:c r="B47" s="19" t="n">
        <x:f>1/D45</x:f>
        <x:v>1</x:v>
      </x:c>
      <x:c r="C47" s="19" t="n">
        <x:f>1/D46</x:f>
        <x:v>2</x:v>
      </x:c>
      <x:c r="D47" s="19" t="n">
        <x:v>1</x:v>
      </x:c>
      <x:c r="E47" s="19" t="n">
        <x:f>('Оценки'!D70*'Оценки'!E70*'Оценки'!F70*'Оценки'!G70)^(1/4)</x:f>
        <x:v>1</x:v>
      </x:c>
      <x:c r="F47" s="19" t="n">
        <x:f>PRODUCT(B47:E47)^(1/4)</x:f>
        <x:v>1.189207115002721</x:v>
      </x:c>
      <x:c r="G47" s="19" t="n">
        <x:f>F47/SUM($F$45:$F$48)</x:f>
        <x:v>0.2800913784934977</x:v>
      </x:c>
      <x:c r="H47" s="19" t="n">
        <x:f>B47*$G$45+C47*$G$46+D47*$G$47+E47*$G$48</x:f>
        <x:v>1.1297934075073512</x:v>
      </x:c>
      <x:c r="I47" s="19" t="n">
        <x:f>H47/G47</x:f>
        <x:v>4.033660063312443</x:v>
      </x:c>
    </x:row>
    <x:row r="48">
      <x:c r="A48" s="18" t="str">
        <x:v>A4 Волонтёрские смены</x:v>
      </x:c>
      <x:c r="B48" s="19" t="n">
        <x:f>1/E45</x:f>
        <x:v>1.6817928305074292</x:v>
      </x:c>
      <x:c r="C48" s="19" t="n">
        <x:f>1/E46</x:f>
        <x:v>2.7108060108295344</x:v>
      </x:c>
      <x:c r="D48" s="19" t="n">
        <x:f>1/E47</x:f>
        <x:v>1</x:v>
      </x:c>
      <x:c r="E48" s="19" t="n">
        <x:v>1</x:v>
      </x:c>
      <x:c r="F48" s="19" t="n">
        <x:f>PRODUCT(B48:E48)^(1/4)</x:f>
        <x:v>1.4612271542086477</x:v>
      </x:c>
      <x:c r="G48" s="19" t="n">
        <x:f>F48/SUM($F$45:$F$48)</x:f>
        <x:v>0.34415966970858086</x:v>
      </x:c>
      <x:c r="H48" s="19" t="n">
        <x:f>B48*$G$45+C48*$G$46+D48*$G$47+E48*$G$48</x:f>
        <x:v>1.3897420684504869</x:v>
      </x:c>
      <x:c r="I48" s="19" t="n">
        <x:f>H48/G48</x:f>
        <x:v>4.038073576800149</x:v>
      </x:c>
    </x:row>
    <x:row r="49">
      <x:c r="A49" s="18"/>
      <x:c r="B49" s="19"/>
      <x:c r="C49" s="19"/>
      <x:c r="D49" s="19"/>
      <x:c r="E49" s="19"/>
      <x:c r="F49" s="19"/>
      <x:c r="G49" s="19"/>
      <x:c r="H49" s="19" t="str">
        <x:v>λmax</x:v>
      </x:c>
      <x:c r="I49" s="19" t="n">
        <x:f>AVERAGE(I45:I48)</x:f>
        <x:v>4.02564849282069</x:v>
      </x:c>
    </x:row>
    <x:row r="50">
      <x:c r="A50" s="18"/>
      <x:c r="B50" s="19"/>
      <x:c r="C50" s="19"/>
      <x:c r="D50" s="19"/>
      <x:c r="E50" s="19"/>
      <x:c r="F50" s="19"/>
      <x:c r="G50" s="19"/>
      <x:c r="H50" s="19" t="str">
        <x:v>CI</x:v>
      </x:c>
      <x:c r="I50" s="19" t="n">
        <x:f>(I49-4)/3</x:f>
        <x:v>0.008549497606896791</x:v>
      </x:c>
    </x:row>
    <x:row r="51">
      <x:c r="A51" s="18"/>
      <x:c r="B51" s="19"/>
      <x:c r="C51" s="19"/>
      <x:c r="D51" s="19"/>
      <x:c r="E51" s="19"/>
      <x:c r="F51" s="19"/>
      <x:c r="G51" s="19"/>
      <x:c r="H51" s="19" t="str">
        <x:v>CR</x:v>
      </x:c>
      <x:c r="I51" s="19" t="n">
        <x:f>I50/0.9</x:f>
        <x:v>0.009499441785440878</x:v>
      </x:c>
    </x:row>
    <x:row r="52">
      <x:c r="A52" s="18"/>
      <x:c r="B52" s="19"/>
      <x:c r="C52" s="19"/>
      <x:c r="D52" s="19"/>
      <x:c r="E52" s="19"/>
      <x:c r="F52" s="19"/>
      <x:c r="G52" s="19"/>
      <x:c r="H52" s="19"/>
      <x:c r="I52" s="19"/>
    </x:row>
    <x:row r="53">
      <x:c r="A53" s="18"/>
      <x:c r="B53" s="19"/>
      <x:c r="C53" s="19"/>
      <x:c r="D53" s="19"/>
      <x:c r="E53" s="19"/>
      <x:c r="F53" s="19"/>
      <x:c r="G53" s="19"/>
      <x:c r="H53" s="19"/>
      <x:c r="I53" s="19"/>
    </x:row>
    <x:row r="54">
      <x:c r="A54" s="18"/>
      <x:c r="B54" s="19"/>
      <x:c r="C54" s="19"/>
      <x:c r="D54" s="19"/>
      <x:c r="E54" s="19"/>
      <x:c r="F54" s="19"/>
      <x:c r="G54" s="19"/>
      <x:c r="H54" s="19"/>
      <x:c r="I54" s="19"/>
    </x:row>
    <x:row r="55">
      <x:c r="A55" s="17" t="str">
        <x:v>Альтернатива</x:v>
      </x:c>
      <x:c r="B55" s="20" t="str">
        <x:v>По C1</x:v>
      </x:c>
      <x:c r="C55" s="20" t="str">
        <x:v>По C2</x:v>
      </x:c>
      <x:c r="D55" s="20" t="str">
        <x:v>По C3</x:v>
      </x:c>
      <x:c r="E55" s="20" t="str">
        <x:v>По C4</x:v>
      </x:c>
      <x:c r="F55" s="20" t="str">
        <x:v>Глобальный вес</x:v>
      </x:c>
      <x:c r="G55" s="20" t="str">
        <x:v>Место</x:v>
      </x:c>
      <x:c r="H55" s="19"/>
      <x:c r="I55" s="19"/>
    </x:row>
    <x:row r="56">
      <x:c r="A56" s="18" t="str">
        <x:v>A1</x:v>
      </x:c>
      <x:c r="B56" s="19" t="n">
        <x:f>G15</x:f>
        <x:v>0.19259070878133588</x:v>
      </x:c>
      <x:c r="C56" s="19" t="n">
        <x:f>G25</x:f>
        <x:v>0.1564352183077154</x:v>
      </x:c>
      <x:c r="D56" s="19" t="n">
        <x:f>G35</x:f>
        <x:v>0.2965087300100307</x:v>
      </x:c>
      <x:c r="E56" s="19" t="n">
        <x:f>G45</x:f>
        <x:v>0.24595554429057037</x:v>
      </x:c>
      <x:c r="F56" s="19" t="n">
        <x:f>$G$5*B56+$G$6*C56+$G$7*D56+$G$8*E56</x:f>
        <x:v>0.20940409514677907</x:v>
      </x:c>
      <x:c r="G56" s="21" t="n">
        <x:f>RANK(F56,$F$56:$F$59,0)</x:f>
        <x:v>4</x:v>
      </x:c>
      <x:c r="H56" s="19"/>
      <x:c r="I56" s="19"/>
    </x:row>
    <x:row r="57">
      <x:c r="A57" s="18" t="str">
        <x:v>A2</x:v>
      </x:c>
      <x:c r="B57" s="19" t="n">
        <x:f>G16</x:f>
        <x:v>0.22494904790434353</x:v>
      </x:c>
      <x:c r="C57" s="19" t="n">
        <x:f>G26</x:f>
        <x:v>0.3551346490288984</x:v>
      </x:c>
      <x:c r="D57" s="19" t="n">
        <x:f>G36</x:f>
        <x:v>0.138867947419908</x:v>
      </x:c>
      <x:c r="E57" s="19" t="n">
        <x:f>G46</x:f>
        <x:v>0.1297934075073511</x:v>
      </x:c>
      <x:c r="F57" s="19" t="n">
        <x:f>$G$5*B57+$G$6*C57+$G$7*D57+$G$8*E57</x:f>
        <x:v>0.2277835217913446</x:v>
      </x:c>
      <x:c r="G57" s="21" t="n">
        <x:f>RANK(F57,$F$56:$F$59,0)</x:f>
        <x:v>3</x:v>
      </x:c>
      <x:c r="H57" s="19"/>
      <x:c r="I57" s="19"/>
    </x:row>
    <x:row r="58">
      <x:c r="A58" s="18" t="str">
        <x:v>A3</x:v>
      </x:c>
      <x:c r="B58" s="19" t="n">
        <x:f>G17</x:f>
        <x:v>0.32629082416151556</x:v>
      </x:c>
      <x:c r="C58" s="19" t="n">
        <x:f>G27</x:f>
        <x:v>0.278814572847857</x:v>
      </x:c>
      <x:c r="D58" s="19" t="n">
        <x:f>G37</x:f>
        <x:v>0.33766077184156335</x:v>
      </x:c>
      <x:c r="E58" s="19" t="n">
        <x:f>G47</x:f>
        <x:v>0.2800913784934977</x:v>
      </x:c>
      <x:c r="F58" s="19" t="n">
        <x:f>$G$5*B58+$G$6*C58+$G$7*D58+$G$8*E58</x:f>
        <x:v>0.3011830787131089</x:v>
      </x:c>
      <x:c r="G58" s="21" t="n">
        <x:f>RANK(F58,$F$56:$F$59,0)</x:f>
        <x:v>1</x:v>
      </x:c>
      <x:c r="H58" s="19"/>
      <x:c r="I58" s="19"/>
    </x:row>
    <x:row r="59">
      <x:c r="A59" s="18" t="str">
        <x:v>A4</x:v>
      </x:c>
      <x:c r="B59" s="19" t="n">
        <x:f>G18</x:f>
        <x:v>0.256169419152805</x:v>
      </x:c>
      <x:c r="C59" s="19" t="n">
        <x:f>G28</x:f>
        <x:v>0.20961555981552923</x:v>
      </x:c>
      <x:c r="D59" s="19" t="n">
        <x:f>G38</x:f>
        <x:v>0.22696255072849794</x:v>
      </x:c>
      <x:c r="E59" s="19" t="n">
        <x:f>G48</x:f>
        <x:v>0.34415966970858086</x:v>
      </x:c>
      <x:c r="F59" s="19" t="n">
        <x:f>$G$5*B59+$G$6*C59+$G$7*D59+$G$8*E59</x:f>
        <x:v>0.2616293043487676</x:v>
      </x:c>
      <x:c r="G59" s="21" t="n">
        <x:f>RANK(F59,$F$56:$F$59,0)</x:f>
        <x:v>2</x:v>
      </x:c>
      <x:c r="H59" s="19"/>
      <x:c r="I59" s="19"/>
    </x:row>
  </x:sheetData>
  <x:mergeCells>
    <x:mergeCell ref="A1:I1"/>
    <x:mergeCell ref="A3:I3"/>
    <x:mergeCell ref="A13:I13"/>
    <x:mergeCell ref="A23:I23"/>
    <x:mergeCell ref="A33:I33"/>
    <x:mergeCell ref="A43:I4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45" hidden="0" customWidth="1"/>
    <x:col min="4" max="4" width="21" hidden="0" customWidth="1"/>
    <x:col min="5" max="5" width="12" hidden="0" customWidth="1"/>
    <x:col min="6" max="6" width="12" hidden="0" customWidth="1"/>
  </x:cols>
  <x:sheetData>
    <x:row r="1">
      <x:c r="A1" s="2" t="str">
        <x:v>Фаза 1 — исходные оценки и результаты</x:v>
      </x:c>
      <x:c r="B1" s="2"/>
      <x:c r="C1" s="2"/>
      <x:c r="D1" s="2"/>
      <x:c r="E1" s="2"/>
      <x:c r="F1" s="2"/>
    </x:row>
    <x:row r="3">
      <x:c r="A3" s="3" t="str">
        <x:v>Состав расчёта</x:v>
      </x:c>
    </x:row>
    <x:row r="5" ht="38" customHeight="1">
      <x:c r="A5" s="4" t="str">
        <x:v>Исходные значения заданы четырьмя сценарными профилями M1–M4; опрос участников не проводился.</x:v>
      </x:c>
      <x:c r="B5" s="4"/>
      <x:c r="C5" s="4"/>
      <x:c r="D5" s="4"/>
      <x:c r="E5" s="4"/>
      <x:c r="F5" s="4"/>
    </x:row>
    <x:row r="6" ht="38" customHeight="1">
      <x:c r="A6" s="4" t="str">
        <x:v>TOPSIS: трёхточечные оценки по шкале 1–9 — осторожная, ожидаемая, благоприятная.</x:v>
      </x:c>
      <x:c r="B6" s="4"/>
      <x:c r="C6" s="4"/>
      <x:c r="D6" s="4"/>
      <x:c r="E6" s="4"/>
      <x:c r="F6" s="4"/>
    </x:row>
    <x:row r="7" ht="38" customHeight="1">
      <x:c r="A7" s="4" t="str">
        <x:v>МАИ: парные сравнения критериев и альтернатив на шкале Саати.</x:v>
      </x:c>
      <x:c r="B7" s="4"/>
      <x:c r="C7" s="4"/>
      <x:c r="D7" s="4"/>
      <x:c r="E7" s="4"/>
      <x:c r="F7" s="4"/>
    </x:row>
    <x:row r="8" ht="38" customHeight="1">
      <x:c r="A8" s="4" t="str">
        <x:v>Расчётные листы TOPSIS и МАИ связаны формулами с листом «Оценки».</x:v>
      </x:c>
      <x:c r="B8" s="4"/>
      <x:c r="C8" s="4"/>
      <x:c r="D8" s="4"/>
      <x:c r="E8" s="4"/>
      <x:c r="F8" s="4"/>
    </x:row>
    <x:row r="9" ht="38" customHeight="1">
      <x:c r="A9" s="4" t="str">
        <x:v>Лист «Итог» отражает результаты обоих методов для заданных исходных значений.</x:v>
      </x:c>
      <x:c r="B9" s="4"/>
      <x:c r="C9" s="4"/>
      <x:c r="D9" s="4"/>
      <x:c r="E9" s="4"/>
      <x:c r="F9" s="4"/>
    </x:row>
    <x:row r="10" ht="38" customHeight="1">
      <x:c r="A10" s="4" t="str">
        <x:v>Фактический состав команды — четыре человека; в тексте задания указаны три.</x:v>
      </x:c>
      <x:c r="B10" s="4"/>
      <x:c r="C10" s="4"/>
      <x:c r="D10" s="4"/>
      <x:c r="E10" s="4"/>
      <x:c r="F10" s="4"/>
    </x:row>
    <x:row r="13">
      <x:c r="A13" s="6" t="str">
        <x:v>Код</x:v>
      </x:c>
      <x:c r="B13" s="6" t="str">
        <x:v>Концепция</x:v>
      </x:c>
      <x:c r="C13" s="6" t="str">
        <x:v>Граница MVP</x:v>
      </x:c>
      <x:c r="D13" s="6" t="str"/>
      <x:c r="E13" s="6" t="str"/>
    </x:row>
    <x:row r="14">
      <x:c r="A14" t="str">
        <x:v>A1</x:v>
      </x:c>
      <x:c r="B14" t="str">
        <x:v>Бронирование учебных помещений</x:v>
      </x:c>
      <x:c r="C14" t="str">
        <x:v>Один кампус, без внешних интеграций</x:v>
      </x:c>
      <x:c r="D14" t="str"/>
      <x:c r="E14" t="str"/>
    </x:row>
    <x:row r="15">
      <x:c r="A15" t="str">
        <x:v>A2</x:v>
      </x:c>
      <x:c r="B15" t="str">
        <x:v>Планирование учебных групп</x:v>
      </x:c>
      <x:c r="C15" t="str">
        <x:v>Один вуз, без видеосвязи</x:v>
      </x:c>
      <x:c r="D15" t="str"/>
      <x:c r="E15" t="str"/>
    </x:row>
    <x:row r="16">
      <x:c r="A16" t="str">
        <x:v>A3</x:v>
      </x:c>
      <x:c r="B16" t="str">
        <x:v>Регистрация на студенческие события</x:v>
      </x:c>
      <x:c r="C16" t="str">
        <x:v>Один факультет, без платежей</x:v>
      </x:c>
      <x:c r="D16" t="str"/>
      <x:c r="E16" t="str"/>
    </x:row>
    <x:row r="17">
      <x:c r="A17" t="str">
        <x:v>A4</x:v>
      </x:c>
      <x:c r="B17" t="str">
        <x:v>Расписание волонтёрских смен</x:v>
      </x:c>
      <x:c r="C17" t="str">
        <x:v>Одна организация, без вознаграждений</x:v>
      </x:c>
      <x:c r="D17" t="str"/>
      <x:c r="E17" t="str"/>
    </x:row>
    <x:row r="20">
      <x:c r="A20" s="6" t="str">
        <x:v>Код</x:v>
      </x:c>
      <x:c r="B20" s="6" t="str">
        <x:v>Критерий</x:v>
      </x:c>
      <x:c r="C20" s="6" t="str">
        <x:v>Направление</x:v>
      </x:c>
    </x:row>
    <x:row r="21">
      <x:c r="A21" t="str">
        <x:v>C1</x:v>
      </x:c>
      <x:c r="B21" t="str">
        <x:v>Полезность</x:v>
      </x:c>
      <x:c r="C21" t="str">
        <x:v>Больше — лучше</x:v>
      </x:c>
    </x:row>
    <x:row r="22">
      <x:c r="A22" t="str">
        <x:v>C2</x:v>
      </x:c>
      <x:c r="B22" t="str">
        <x:v>Реализуемость</x:v>
      </x:c>
      <x:c r="C22" t="str">
        <x:v>Больше — лучше</x:v>
      </x:c>
    </x:row>
    <x:row r="23">
      <x:c r="A23" t="str">
        <x:v>C3</x:v>
      </x:c>
      <x:c r="B23" t="str">
        <x:v>Ясность сценариев</x:v>
      </x:c>
      <x:c r="C23" t="str">
        <x:v>Больше — лучше</x:v>
      </x:c>
    </x:row>
    <x:row r="24">
      <x:c r="A24" t="str">
        <x:v>C4</x:v>
      </x:c>
      <x:c r="B24" t="str">
        <x:v>Пригодность для планирования</x:v>
      </x:c>
      <x:c r="C24" t="str">
        <x:v>Больше — лучше</x:v>
      </x:c>
    </x:row>
    <x:row r="27">
      <x:c r="A27" s="6" t="str">
        <x:v>Результаты сравнения</x:v>
      </x:c>
      <x:c r="B27" s="6"/>
      <x:c r="C27" s="6"/>
      <x:c r="D27" s="6"/>
      <x:c r="E27" s="6"/>
      <x:c r="F27" s="6"/>
    </x:row>
    <x:row r="28">
      <x:c r="A28" s="8" t="str">
        <x:v>Код</x:v>
      </x:c>
      <x:c r="B28" s="8" t="str">
        <x:v>Концепция</x:v>
      </x:c>
      <x:c r="C28" s="8" t="str">
        <x:v>CC TOPSIS</x:v>
      </x:c>
      <x:c r="D28" s="8" t="str">
        <x:v>Приоритет МАИ</x:v>
      </x:c>
      <x:c r="E28" s="8" t="str">
        <x:v>Место</x:v>
      </x:c>
    </x:row>
    <x:row r="29">
      <x:c r="A29" t="str">
        <x:v>A1</x:v>
      </x:c>
      <x:c r="B29" t="str">
        <x:v>Бронирование помещений</x:v>
      </x:c>
      <x:c r="C29" s="9" t="n">
        <x:f>'TOPSIS'!D38</x:f>
        <x:v>0.3160411269988924</x:v>
      </x:c>
      <x:c r="D29" s="9" t="n">
        <x:f>'МАИ'!F56</x:f>
        <x:v>0.20940409514677907</x:v>
      </x:c>
      <x:c r="E29" t="n">
        <x:f>'TOPSIS'!E38</x:f>
        <x:v>4</x:v>
      </x:c>
    </x:row>
    <x:row r="30">
      <x:c r="A30" t="str">
        <x:v>A2</x:v>
      </x:c>
      <x:c r="B30" t="str">
        <x:v>Учебные группы</x:v>
      </x:c>
      <x:c r="C30" s="9" t="n">
        <x:f>'TOPSIS'!D39</x:f>
        <x:v>0.39870588170967225</x:v>
      </x:c>
      <x:c r="D30" s="9" t="n">
        <x:f>'МАИ'!F57</x:f>
        <x:v>0.2277835217913446</x:v>
      </x:c>
      <x:c r="E30" t="n">
        <x:f>'TOPSIS'!E39</x:f>
        <x:v>3</x:v>
      </x:c>
    </x:row>
    <x:row r="31">
      <x:c r="A31" t="str">
        <x:v>A3</x:v>
      </x:c>
      <x:c r="B31" t="str">
        <x:v>Студенческие события</x:v>
      </x:c>
      <x:c r="C31" s="9" t="n">
        <x:f>'TOPSIS'!D40</x:f>
        <x:v>0.8228009450757976</x:v>
      </x:c>
      <x:c r="D31" s="9" t="n">
        <x:f>'МАИ'!F58</x:f>
        <x:v>0.3011830787131089</x:v>
      </x:c>
      <x:c r="E31" t="n">
        <x:f>'TOPSIS'!E40</x:f>
        <x:v>1</x:v>
      </x:c>
    </x:row>
    <x:row r="32">
      <x:c r="A32" t="str">
        <x:v>A4</x:v>
      </x:c>
      <x:c r="B32" t="str">
        <x:v>Волонтёрские смены</x:v>
      </x:c>
      <x:c r="C32" s="9" t="n">
        <x:f>'TOPSIS'!D41</x:f>
        <x:v>0.579350742131985</x:v>
      </x:c>
      <x:c r="D32" s="9" t="n">
        <x:f>'МАИ'!F59</x:f>
        <x:v>0.2616293043487676</x:v>
      </x:c>
      <x:c r="E32" t="n">
        <x:f>'TOPSIS'!E41</x:f>
        <x:v>2</x:v>
      </x:c>
    </x:row>
  </x:sheetData>
  <x:mergeCells>
    <x:mergeCell ref="A1:F1"/>
    <x:mergeCell ref="A5:F5"/>
    <x:mergeCell ref="A6:F6"/>
    <x:mergeCell ref="A7:F7"/>
    <x:mergeCell ref="A8:F8"/>
    <x:mergeCell ref="A9:F9"/>
    <x:mergeCell ref="A10:F10"/>
    <x:mergeCell ref="A27:F27"/>
  </x:mergeCells>
  <x:pageMargins left="0.7" right="0.7" top="0.75" bottom="0.75" header="0.3" footer="0.3"/>
</x:worksheet>
</file>