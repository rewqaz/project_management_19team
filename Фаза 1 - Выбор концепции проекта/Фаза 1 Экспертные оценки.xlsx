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153b7c8c544b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ценки" sheetId="1" r:id="R4471d1d5c89144d3"/>
    <x:sheet xmlns:r="http://schemas.openxmlformats.org/officeDocument/2006/relationships" name="TOPSIS" sheetId="2" r:id="Rdc365f761d0f4a2d"/>
    <x:sheet xmlns:r="http://schemas.openxmlformats.org/officeDocument/2006/relationships" name="МАИ" sheetId="3" r:id="Rb51ada5bd8ec446a"/>
    <x:sheet xmlns:r="http://schemas.openxmlformats.org/officeDocument/2006/relationships" name="Итог" sheetId="4" r:id="R919fc2188ab641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0"/>
    <x:numFmt numFmtId="201" formatCode="0.000"/>
    <x:numFmt numFmtId="202" formatCode="0"/>
  </x:numFmts>
  <x:fonts count="6">
    <x:font>
      <x:sz val="11"/>
      <x:name val="Carlito"/>
    </x:font>
    <x:font>
      <x:b/>
      <x:sz val="16"/>
      <x:color rgb="FF222222"/>
      <x:name val="Aptos"/>
    </x:font>
    <x:font>
      <x:b/>
      <x:sz val="11"/>
      <x:color rgb="FF000000"/>
      <x:name val="Aptos"/>
    </x:font>
    <x:font>
      <x:b/>
      <x:sz val="15"/>
      <x:color rgb="FF222222"/>
      <x:name val="Aptos"/>
    </x:font>
    <x:font>
      <x:b/>
      <x:sz val="10"/>
      <x:color rgb="FF000000"/>
      <x:name val="Aptos"/>
    </x:font>
    <x:font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DEDED"/>
      </x:patternFill>
    </x:fill>
    <x:fill>
      <x:patternFill patternType="solid">
        <x:fgColor rgb="FFF7F7F7"/>
      </x:patternFill>
    </x:fill>
    <x:fill>
      <x:patternFill patternType="solid">
        <x:fgColor rgb="FFFAFA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4" fillId="3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4" fillId="3" borderId="0" xfId="0" applyNumberFormat="1" applyFont="1" applyFill="1" applyBorder="1"/>
    <x:xf numFmtId="202" fontId="5" fillId="0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0c61c101804e68" /><Relationship Type="http://schemas.openxmlformats.org/officeDocument/2006/relationships/theme" Target="/xl/theme/theme1.xml" Id="R2199724e903f4ba9" /><Relationship Type="http://schemas.openxmlformats.org/officeDocument/2006/relationships/sharedStrings" Target="/xl/sharedStrings.xml" Id="R7ec9ca08c5b74932" /><Relationship Type="http://schemas.openxmlformats.org/officeDocument/2006/relationships/worksheet" Target="/xl/worksheets/sheet1.xml" Id="R4471d1d5c89144d3" /><Relationship Type="http://schemas.openxmlformats.org/officeDocument/2006/relationships/worksheet" Target="/xl/worksheets/sheet2.xml" Id="Rdc365f761d0f4a2d" /><Relationship Type="http://schemas.openxmlformats.org/officeDocument/2006/relationships/worksheet" Target="/xl/worksheets/sheet3.xml" Id="Rb51ada5bd8ec446a" /><Relationship Type="http://schemas.openxmlformats.org/officeDocument/2006/relationships/worksheet" Target="/xl/worksheets/sheet4.xml" Id="R919fc2188ab641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36" hidden="0" customWidth="1"/>
    <x:col min="3" max="3" width="40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>
      <x:c r="A1" s="6" t="str">
        <x:v>Оценки команды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</x:row>
    <x:row r="2">
      <x:c r="A2" t="str">
        <x:v>Критерии, альтернативы и исходные оценки для сравнения концепций.</x:v>
      </x:c>
    </x:row>
    <x:row r="4">
      <x:c r="A4" s="4" t="str">
        <x:v>1 Критерии и их важность — трёхточечные оценки 1–9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</x:row>
    <x:row r="5">
      <x:c r="A5" s="8" t="str">
        <x:v>Код</x:v>
      </x:c>
      <x:c r="B5" s="8" t="str">
        <x:v>Критерий</x:v>
      </x:c>
      <x:c r="C5" s="8" t="str">
        <x:v>Направление</x:v>
      </x:c>
      <x:c r="D5" s="8" t="str">
        <x:v>Роман Иванин</x:v>
      </x:c>
      <x:c r="E5" s="8"/>
      <x:c r="F5" s="8"/>
      <x:c r="G5" s="8" t="str">
        <x:v>Баулин Евгений</x:v>
      </x:c>
      <x:c r="H5" s="8"/>
      <x:c r="I5" s="8"/>
      <x:c r="J5" s="8" t="str">
        <x:v>Миленин Никита</x:v>
      </x:c>
      <x:c r="K5" s="8"/>
      <x:c r="L5" s="8"/>
      <x:c r="M5" s="8" t="str">
        <x:v>Соу Мамаду</x:v>
      </x:c>
      <x:c r="N5" s="8"/>
      <x:c r="O5" s="8"/>
    </x:row>
    <x:row r="6">
      <x:c r="A6" s="8"/>
      <x:c r="B6" s="8"/>
      <x:c r="C6" s="8"/>
      <x:c r="D6" s="8" t="str">
        <x:v>Песс.</x:v>
      </x:c>
      <x:c r="E6" s="8" t="str">
        <x:v>Ожид.</x:v>
      </x:c>
      <x:c r="F6" s="8" t="str">
        <x:v>Опт.</x:v>
      </x:c>
      <x:c r="G6" s="8" t="str">
        <x:v>Песс.</x:v>
      </x:c>
      <x:c r="H6" s="8" t="str">
        <x:v>Ожид.</x:v>
      </x:c>
      <x:c r="I6" s="8" t="str">
        <x:v>Опт.</x:v>
      </x:c>
      <x:c r="J6" s="8" t="str">
        <x:v>Песс.</x:v>
      </x:c>
      <x:c r="K6" s="8" t="str">
        <x:v>Ожид.</x:v>
      </x:c>
      <x:c r="L6" s="8" t="str">
        <x:v>Опт.</x:v>
      </x:c>
      <x:c r="M6" s="8" t="str">
        <x:v>Песс.</x:v>
      </x:c>
      <x:c r="N6" s="8" t="str">
        <x:v>Ожид.</x:v>
      </x:c>
      <x:c r="O6" s="8" t="str">
        <x:v>Опт.</x:v>
      </x:c>
    </x:row>
    <x:row r="7">
      <x:c r="A7" t="str">
        <x:v>C1</x:v>
      </x:c>
      <x:c r="B7" t="str">
        <x:v>Полезность</x:v>
      </x:c>
      <x:c r="C7" t="str">
        <x:v>Выгодный</x:v>
      </x:c>
      <x:c r="D7" s="9" t="n">
        <x:v>7</x:v>
      </x:c>
      <x:c r="E7" s="9" t="n">
        <x:v>8</x:v>
      </x:c>
      <x:c r="F7" s="9" t="n">
        <x:v>9</x:v>
      </x:c>
      <x:c r="G7" s="9" t="n">
        <x:v>8</x:v>
      </x:c>
      <x:c r="H7" s="9" t="n">
        <x:v>9</x:v>
      </x:c>
      <x:c r="I7" s="9" t="n">
        <x:v>9</x:v>
      </x:c>
      <x:c r="J7" s="9" t="n">
        <x:v>6</x:v>
      </x:c>
      <x:c r="K7" s="9" t="n">
        <x:v>7</x:v>
      </x:c>
      <x:c r="L7" s="9" t="n">
        <x:v>8</x:v>
      </x:c>
      <x:c r="M7" s="9" t="n">
        <x:v>7</x:v>
      </x:c>
      <x:c r="N7" s="9" t="n">
        <x:v>8</x:v>
      </x:c>
      <x:c r="O7" s="9" t="n">
        <x:v>9</x:v>
      </x:c>
    </x:row>
    <x:row r="8">
      <x:c r="A8" t="str">
        <x:v>C2</x:v>
      </x:c>
      <x:c r="B8" t="str">
        <x:v>Реализуемость</x:v>
      </x:c>
      <x:c r="C8" t="str">
        <x:v>Выгодный</x:v>
      </x:c>
      <x:c r="D8" s="9" t="n">
        <x:v>6</x:v>
      </x:c>
      <x:c r="E8" s="9" t="n">
        <x:v>7</x:v>
      </x:c>
      <x:c r="F8" s="9" t="n">
        <x:v>8</x:v>
      </x:c>
      <x:c r="G8" s="9" t="n">
        <x:v>6</x:v>
      </x:c>
      <x:c r="H8" s="9" t="n">
        <x:v>7</x:v>
      </x:c>
      <x:c r="I8" s="9" t="n">
        <x:v>8</x:v>
      </x:c>
      <x:c r="J8" s="9" t="n">
        <x:v>8</x:v>
      </x:c>
      <x:c r="K8" s="9" t="n">
        <x:v>9</x:v>
      </x:c>
      <x:c r="L8" s="9" t="n">
        <x:v>9</x:v>
      </x:c>
      <x:c r="M8" s="9" t="n">
        <x:v>7</x:v>
      </x:c>
      <x:c r="N8" s="9" t="n">
        <x:v>8</x:v>
      </x:c>
      <x:c r="O8" s="9" t="n">
        <x:v>9</x:v>
      </x:c>
    </x:row>
    <x:row r="9">
      <x:c r="A9" t="str">
        <x:v>C3</x:v>
      </x:c>
      <x:c r="B9" t="str">
        <x:v>Ясность сценариев</x:v>
      </x:c>
      <x:c r="C9" t="str">
        <x:v>Выгодный</x:v>
      </x:c>
      <x:c r="D9" s="9" t="n">
        <x:v>5</x:v>
      </x:c>
      <x:c r="E9" s="9" t="n">
        <x:v>6</x:v>
      </x:c>
      <x:c r="F9" s="9" t="n">
        <x:v>7</x:v>
      </x:c>
      <x:c r="G9" s="9" t="n">
        <x:v>6</x:v>
      </x:c>
      <x:c r="H9" s="9" t="n">
        <x:v>7</x:v>
      </x:c>
      <x:c r="I9" s="9" t="n">
        <x:v>8</x:v>
      </x:c>
      <x:c r="J9" s="9" t="n">
        <x:v>6</x:v>
      </x:c>
      <x:c r="K9" s="9" t="n">
        <x:v>7</x:v>
      </x:c>
      <x:c r="L9" s="9" t="n">
        <x:v>8</x:v>
      </x:c>
      <x:c r="M9" s="9" t="n">
        <x:v>5</x:v>
      </x:c>
      <x:c r="N9" s="9" t="n">
        <x:v>6</x:v>
      </x:c>
      <x:c r="O9" s="9" t="n">
        <x:v>7</x:v>
      </x:c>
    </x:row>
    <x:row r="10">
      <x:c r="A10" t="str">
        <x:v>C4</x:v>
      </x:c>
      <x:c r="B10" t="str">
        <x:v>Пригодность для планирования</x:v>
      </x:c>
      <x:c r="C10" t="str">
        <x:v>Выгодный</x:v>
      </x:c>
      <x:c r="D10" s="9" t="n">
        <x:v>6</x:v>
      </x:c>
      <x:c r="E10" s="9" t="n">
        <x:v>7</x:v>
      </x:c>
      <x:c r="F10" s="9" t="n">
        <x:v>8</x:v>
      </x:c>
      <x:c r="G10" s="9" t="n">
        <x:v>5</x:v>
      </x:c>
      <x:c r="H10" s="9" t="n">
        <x:v>6</x:v>
      </x:c>
      <x:c r="I10" s="9" t="n">
        <x:v>7</x:v>
      </x:c>
      <x:c r="J10" s="9" t="n">
        <x:v>5</x:v>
      </x:c>
      <x:c r="K10" s="9" t="n">
        <x:v>6</x:v>
      </x:c>
      <x:c r="L10" s="9" t="n">
        <x:v>7</x:v>
      </x:c>
      <x:c r="M10" s="9" t="n">
        <x:v>8</x:v>
      </x:c>
      <x:c r="N10" s="9" t="n">
        <x:v>9</x:v>
      </x:c>
      <x:c r="O10" s="9" t="n">
        <x:v>9</x:v>
      </x:c>
    </x:row>
    <x:row r="12">
      <x:c r="A12" s="4" t="str">
        <x:v>2 Альтернативы</x:v>
      </x:c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</x:row>
    <x:row r="13">
      <x:c r="A13" s="8" t="str">
        <x:v>Код</x:v>
      </x:c>
      <x:c r="B13" s="8" t="str">
        <x:v>Концепция</x:v>
      </x:c>
      <x:c r="C13" s="8" t="str">
        <x:v>Граница MVP</x:v>
      </x:c>
    </x:row>
    <x:row r="14">
      <x:c r="A14" t="str">
        <x:v>A1</x:v>
      </x:c>
      <x:c r="B14" t="str">
        <x:v>Бронирование учебных помещений</x:v>
      </x:c>
      <x:c r="C14" t="str">
        <x:v>Один кампус, без внешних интеграций</x:v>
      </x:c>
    </x:row>
    <x:row r="15">
      <x:c r="A15" t="str">
        <x:v>A2</x:v>
      </x:c>
      <x:c r="B15" t="str">
        <x:v>Планирование учебных групп</x:v>
      </x:c>
      <x:c r="C15" t="str">
        <x:v>Один вуз, без видеосвязи</x:v>
      </x:c>
    </x:row>
    <x:row r="16">
      <x:c r="A16" t="str">
        <x:v>A3</x:v>
      </x:c>
      <x:c r="B16" t="str">
        <x:v>Регистрация на студенческие события</x:v>
      </x:c>
      <x:c r="C16" t="str">
        <x:v>Один факультет, без платежей</x:v>
      </x:c>
    </x:row>
    <x:row r="17">
      <x:c r="A17" t="str">
        <x:v>A4</x:v>
      </x:c>
      <x:c r="B17" t="str">
        <x:v>Расписание волонтёрских смен</x:v>
      </x:c>
      <x:c r="C17" t="str">
        <x:v>Одна организация, без вознаграждений</x:v>
      </x:c>
    </x:row>
    <x:row r="19">
      <x:c r="A19" s="4" t="str">
        <x:v>3 Оценки альтернатив по критериям — трёхточечные оценки 1–9</x:v>
      </x:c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</x:row>
    <x:row r="20">
      <x:c r="A20" s="8" t="str">
        <x:v>Критерий</x:v>
      </x:c>
      <x:c r="B20" s="8" t="str">
        <x:v>Альтернатива</x:v>
      </x:c>
      <x:c r="C20" s="8" t="str">
        <x:v>Концепция</x:v>
      </x:c>
      <x:c r="D20" s="8" t="str">
        <x:v>Роман Иванин</x:v>
      </x:c>
      <x:c r="E20" s="8"/>
      <x:c r="F20" s="8"/>
      <x:c r="G20" s="8" t="str">
        <x:v>Баулин Евгений</x:v>
      </x:c>
      <x:c r="H20" s="8"/>
      <x:c r="I20" s="8"/>
      <x:c r="J20" s="8" t="str">
        <x:v>Миленин Никита</x:v>
      </x:c>
      <x:c r="K20" s="8"/>
      <x:c r="L20" s="8"/>
      <x:c r="M20" s="8" t="str">
        <x:v>Соу Мамаду</x:v>
      </x:c>
      <x:c r="N20" s="8"/>
      <x:c r="O20" s="8"/>
    </x:row>
    <x:row r="21">
      <x:c r="A21" s="8"/>
      <x:c r="B21" s="8"/>
      <x:c r="C21" s="8"/>
      <x:c r="D21" s="8" t="str">
        <x:v>Песс.</x:v>
      </x:c>
      <x:c r="E21" s="8" t="str">
        <x:v>Ожид.</x:v>
      </x:c>
      <x:c r="F21" s="8" t="str">
        <x:v>Опт.</x:v>
      </x:c>
      <x:c r="G21" s="8" t="str">
        <x:v>Песс.</x:v>
      </x:c>
      <x:c r="H21" s="8" t="str">
        <x:v>Ожид.</x:v>
      </x:c>
      <x:c r="I21" s="8" t="str">
        <x:v>Опт.</x:v>
      </x:c>
      <x:c r="J21" s="8" t="str">
        <x:v>Песс.</x:v>
      </x:c>
      <x:c r="K21" s="8" t="str">
        <x:v>Ожид.</x:v>
      </x:c>
      <x:c r="L21" s="8" t="str">
        <x:v>Опт.</x:v>
      </x:c>
      <x:c r="M21" s="8" t="str">
        <x:v>Песс.</x:v>
      </x:c>
      <x:c r="N21" s="8" t="str">
        <x:v>Ожид.</x:v>
      </x:c>
      <x:c r="O21" s="8" t="str">
        <x:v>Опт.</x:v>
      </x:c>
    </x:row>
    <x:row r="22">
      <x:c r="A22" t="str">
        <x:v>C1</x:v>
      </x:c>
      <x:c r="B22" t="str">
        <x:v>A1</x:v>
      </x:c>
      <x:c r="C22" t="str">
        <x:v>Бронирование помещений</x:v>
      </x:c>
      <x:c r="D22" s="9" t="n">
        <x:v>6</x:v>
      </x:c>
      <x:c r="E22" s="9" t="n">
        <x:v>7</x:v>
      </x:c>
      <x:c r="F22" s="9" t="n">
        <x:v>8</x:v>
      </x:c>
      <x:c r="G22" s="9" t="n">
        <x:v>5</x:v>
      </x:c>
      <x:c r="H22" s="9" t="n">
        <x:v>6</x:v>
      </x:c>
      <x:c r="I22" s="9" t="n">
        <x:v>7</x:v>
      </x:c>
      <x:c r="J22" s="9" t="n">
        <x:v>6</x:v>
      </x:c>
      <x:c r="K22" s="9" t="n">
        <x:v>7</x:v>
      </x:c>
      <x:c r="L22" s="9" t="n">
        <x:v>8</x:v>
      </x:c>
      <x:c r="M22" s="9" t="n">
        <x:v>6</x:v>
      </x:c>
      <x:c r="N22" s="9" t="n">
        <x:v>7</x:v>
      </x:c>
      <x:c r="O22" s="9" t="n">
        <x:v>8</x:v>
      </x:c>
    </x:row>
    <x:row r="23">
      <x:c r="A23" t="str">
        <x:v>C1</x:v>
      </x:c>
      <x:c r="B23" t="str">
        <x:v>A2</x:v>
      </x:c>
      <x:c r="C23" t="str">
        <x:v>Учебные группы</x:v>
      </x:c>
      <x:c r="D23" s="9" t="n">
        <x:v>6</x:v>
      </x:c>
      <x:c r="E23" s="9" t="n">
        <x:v>7</x:v>
      </x:c>
      <x:c r="F23" s="9" t="n">
        <x:v>8</x:v>
      </x:c>
      <x:c r="G23" s="9" t="n">
        <x:v>7</x:v>
      </x:c>
      <x:c r="H23" s="9" t="n">
        <x:v>8</x:v>
      </x:c>
      <x:c r="I23" s="9" t="n">
        <x:v>9</x:v>
      </x:c>
      <x:c r="J23" s="9" t="n">
        <x:v>6</x:v>
      </x:c>
      <x:c r="K23" s="9" t="n">
        <x:v>7</x:v>
      </x:c>
      <x:c r="L23" s="9" t="n">
        <x:v>8</x:v>
      </x:c>
      <x:c r="M23" s="9" t="n">
        <x:v>6</x:v>
      </x:c>
      <x:c r="N23" s="9" t="n">
        <x:v>7</x:v>
      </x:c>
      <x:c r="O23" s="9" t="n">
        <x:v>8</x:v>
      </x:c>
    </x:row>
    <x:row r="24">
      <x:c r="A24" t="str">
        <x:v>C1</x:v>
      </x:c>
      <x:c r="B24" t="str">
        <x:v>A3</x:v>
      </x:c>
      <x:c r="C24" t="str">
        <x:v>Студенческие события</x:v>
      </x:c>
      <x:c r="D24" s="9" t="n">
        <x:v>7</x:v>
      </x:c>
      <x:c r="E24" s="9" t="n">
        <x:v>8</x:v>
      </x:c>
      <x:c r="F24" s="9" t="n">
        <x:v>9</x:v>
      </x:c>
      <x:c r="G24" s="9" t="n">
        <x:v>8</x:v>
      </x:c>
      <x:c r="H24" s="9" t="n">
        <x:v>9</x:v>
      </x:c>
      <x:c r="I24" s="9" t="n">
        <x:v>9</x:v>
      </x:c>
      <x:c r="J24" s="9" t="n">
        <x:v>7</x:v>
      </x:c>
      <x:c r="K24" s="9" t="n">
        <x:v>8</x:v>
      </x:c>
      <x:c r="L24" s="9" t="n">
        <x:v>9</x:v>
      </x:c>
      <x:c r="M24" s="9" t="n">
        <x:v>7</x:v>
      </x:c>
      <x:c r="N24" s="9" t="n">
        <x:v>8</x:v>
      </x:c>
      <x:c r="O24" s="9" t="n">
        <x:v>9</x:v>
      </x:c>
    </x:row>
    <x:row r="25">
      <x:c r="A25" t="str">
        <x:v>C1</x:v>
      </x:c>
      <x:c r="B25" t="str">
        <x:v>A4</x:v>
      </x:c>
      <x:c r="C25" t="str">
        <x:v>Волонтёрские смены</x:v>
      </x:c>
      <x:c r="D25" s="9" t="n">
        <x:v>7</x:v>
      </x:c>
      <x:c r="E25" s="9" t="n">
        <x:v>8</x:v>
      </x:c>
      <x:c r="F25" s="9" t="n">
        <x:v>9</x:v>
      </x:c>
      <x:c r="G25" s="9" t="n">
        <x:v>7</x:v>
      </x:c>
      <x:c r="H25" s="9" t="n">
        <x:v>8</x:v>
      </x:c>
      <x:c r="I25" s="9" t="n">
        <x:v>9</x:v>
      </x:c>
      <x:c r="J25" s="9" t="n">
        <x:v>6</x:v>
      </x:c>
      <x:c r="K25" s="9" t="n">
        <x:v>7</x:v>
      </x:c>
      <x:c r="L25" s="9" t="n">
        <x:v>8</x:v>
      </x:c>
      <x:c r="M25" s="9" t="n">
        <x:v>7</x:v>
      </x:c>
      <x:c r="N25" s="9" t="n">
        <x:v>8</x:v>
      </x:c>
      <x:c r="O25" s="9" t="n">
        <x:v>9</x:v>
      </x:c>
    </x:row>
    <x:row r="26">
      <x:c r="A26" t="str">
        <x:v>C2</x:v>
      </x:c>
      <x:c r="B26" t="str">
        <x:v>A1</x:v>
      </x:c>
      <x:c r="C26" t="str">
        <x:v>Бронирование помещений</x:v>
      </x:c>
      <x:c r="D26" s="9" t="n">
        <x:v>4</x:v>
      </x:c>
      <x:c r="E26" s="9" t="n">
        <x:v>5</x:v>
      </x:c>
      <x:c r="F26" s="9" t="n">
        <x:v>6</x:v>
      </x:c>
      <x:c r="G26" s="9" t="n">
        <x:v>5</x:v>
      </x:c>
      <x:c r="H26" s="9" t="n">
        <x:v>6</x:v>
      </x:c>
      <x:c r="I26" s="9" t="n">
        <x:v>7</x:v>
      </x:c>
      <x:c r="J26" s="9" t="n">
        <x:v>4</x:v>
      </x:c>
      <x:c r="K26" s="9" t="n">
        <x:v>5</x:v>
      </x:c>
      <x:c r="L26" s="9" t="n">
        <x:v>6</x:v>
      </x:c>
      <x:c r="M26" s="9" t="n">
        <x:v>5</x:v>
      </x:c>
      <x:c r="N26" s="9" t="n">
        <x:v>6</x:v>
      </x:c>
      <x:c r="O26" s="9" t="n">
        <x:v>7</x:v>
      </x:c>
    </x:row>
    <x:row r="27">
      <x:c r="A27" t="str">
        <x:v>C2</x:v>
      </x:c>
      <x:c r="B27" t="str">
        <x:v>A2</x:v>
      </x:c>
      <x:c r="C27" t="str">
        <x:v>Учебные группы</x:v>
      </x:c>
      <x:c r="D27" s="9" t="n">
        <x:v>7</x:v>
      </x:c>
      <x:c r="E27" s="9" t="n">
        <x:v>8</x:v>
      </x:c>
      <x:c r="F27" s="9" t="n">
        <x:v>9</x:v>
      </x:c>
      <x:c r="G27" s="9" t="n">
        <x:v>7</x:v>
      </x:c>
      <x:c r="H27" s="9" t="n">
        <x:v>8</x:v>
      </x:c>
      <x:c r="I27" s="9" t="n">
        <x:v>9</x:v>
      </x:c>
      <x:c r="J27" s="9" t="n">
        <x:v>8</x:v>
      </x:c>
      <x:c r="K27" s="9" t="n">
        <x:v>9</x:v>
      </x:c>
      <x:c r="L27" s="9" t="n">
        <x:v>9</x:v>
      </x:c>
      <x:c r="M27" s="9" t="n">
        <x:v>7</x:v>
      </x:c>
      <x:c r="N27" s="9" t="n">
        <x:v>8</x:v>
      </x:c>
      <x:c r="O27" s="9" t="n">
        <x:v>9</x:v>
      </x:c>
    </x:row>
    <x:row r="28">
      <x:c r="A28" t="str">
        <x:v>C2</x:v>
      </x:c>
      <x:c r="B28" t="str">
        <x:v>A3</x:v>
      </x:c>
      <x:c r="C28" t="str">
        <x:v>Студенческие события</x:v>
      </x:c>
      <x:c r="D28" s="9" t="n">
        <x:v>6</x:v>
      </x:c>
      <x:c r="E28" s="9" t="n">
        <x:v>7</x:v>
      </x:c>
      <x:c r="F28" s="9" t="n">
        <x:v>8</x:v>
      </x:c>
      <x:c r="G28" s="9" t="n">
        <x:v>6</x:v>
      </x:c>
      <x:c r="H28" s="9" t="n">
        <x:v>7</x:v>
      </x:c>
      <x:c r="I28" s="9" t="n">
        <x:v>8</x:v>
      </x:c>
      <x:c r="J28" s="9" t="n">
        <x:v>7</x:v>
      </x:c>
      <x:c r="K28" s="9" t="n">
        <x:v>8</x:v>
      </x:c>
      <x:c r="L28" s="9" t="n">
        <x:v>9</x:v>
      </x:c>
      <x:c r="M28" s="9" t="n">
        <x:v>6</x:v>
      </x:c>
      <x:c r="N28" s="9" t="n">
        <x:v>7</x:v>
      </x:c>
      <x:c r="O28" s="9" t="n">
        <x:v>8</x:v>
      </x:c>
    </x:row>
    <x:row r="29">
      <x:c r="A29" t="str">
        <x:v>C2</x:v>
      </x:c>
      <x:c r="B29" t="str">
        <x:v>A4</x:v>
      </x:c>
      <x:c r="C29" t="str">
        <x:v>Волонтёрские смены</x:v>
      </x:c>
      <x:c r="D29" s="9" t="n">
        <x:v>5</x:v>
      </x:c>
      <x:c r="E29" s="9" t="n">
        <x:v>6</x:v>
      </x:c>
      <x:c r="F29" s="9" t="n">
        <x:v>7</x:v>
      </x:c>
      <x:c r="G29" s="9" t="n">
        <x:v>5</x:v>
      </x:c>
      <x:c r="H29" s="9" t="n">
        <x:v>6</x:v>
      </x:c>
      <x:c r="I29" s="9" t="n">
        <x:v>7</x:v>
      </x:c>
      <x:c r="J29" s="9" t="n">
        <x:v>5</x:v>
      </x:c>
      <x:c r="K29" s="9" t="n">
        <x:v>6</x:v>
      </x:c>
      <x:c r="L29" s="9" t="n">
        <x:v>7</x:v>
      </x:c>
      <x:c r="M29" s="9" t="n">
        <x:v>5</x:v>
      </x:c>
      <x:c r="N29" s="9" t="n">
        <x:v>6</x:v>
      </x:c>
      <x:c r="O29" s="9" t="n">
        <x:v>7</x:v>
      </x:c>
    </x:row>
    <x:row r="30">
      <x:c r="A30" t="str">
        <x:v>C3</x:v>
      </x:c>
      <x:c r="B30" t="str">
        <x:v>A1</x:v>
      </x:c>
      <x:c r="C30" t="str">
        <x:v>Бронирование помещений</x:v>
      </x:c>
      <x:c r="D30" s="9" t="n">
        <x:v>7</x:v>
      </x:c>
      <x:c r="E30" s="9" t="n">
        <x:v>8</x:v>
      </x:c>
      <x:c r="F30" s="9" t="n">
        <x:v>9</x:v>
      </x:c>
      <x:c r="G30" s="9" t="n">
        <x:v>7</x:v>
      </x:c>
      <x:c r="H30" s="9" t="n">
        <x:v>8</x:v>
      </x:c>
      <x:c r="I30" s="9" t="n">
        <x:v>9</x:v>
      </x:c>
      <x:c r="J30" s="9" t="n">
        <x:v>8</x:v>
      </x:c>
      <x:c r="K30" s="9" t="n">
        <x:v>9</x:v>
      </x:c>
      <x:c r="L30" s="9" t="n">
        <x:v>9</x:v>
      </x:c>
      <x:c r="M30" s="9" t="n">
        <x:v>7</x:v>
      </x:c>
      <x:c r="N30" s="9" t="n">
        <x:v>8</x:v>
      </x:c>
      <x:c r="O30" s="9" t="n">
        <x:v>9</x:v>
      </x:c>
    </x:row>
    <x:row r="31">
      <x:c r="A31" t="str">
        <x:v>C3</x:v>
      </x:c>
      <x:c r="B31" t="str">
        <x:v>A2</x:v>
      </x:c>
      <x:c r="C31" t="str">
        <x:v>Учебные группы</x:v>
      </x:c>
      <x:c r="D31" s="9" t="n">
        <x:v>5</x:v>
      </x:c>
      <x:c r="E31" s="9" t="n">
        <x:v>6</x:v>
      </x:c>
      <x:c r="F31" s="9" t="n">
        <x:v>7</x:v>
      </x:c>
      <x:c r="G31" s="9" t="n">
        <x:v>5</x:v>
      </x:c>
      <x:c r="H31" s="9" t="n">
        <x:v>6</x:v>
      </x:c>
      <x:c r="I31" s="9" t="n">
        <x:v>7</x:v>
      </x:c>
      <x:c r="J31" s="9" t="n">
        <x:v>5</x:v>
      </x:c>
      <x:c r="K31" s="9" t="n">
        <x:v>6</x:v>
      </x:c>
      <x:c r="L31" s="9" t="n">
        <x:v>7</x:v>
      </x:c>
      <x:c r="M31" s="9" t="n">
        <x:v>6</x:v>
      </x:c>
      <x:c r="N31" s="9" t="n">
        <x:v>7</x:v>
      </x:c>
      <x:c r="O31" s="9" t="n">
        <x:v>8</x:v>
      </x:c>
    </x:row>
    <x:row r="32">
      <x:c r="A32" t="str">
        <x:v>C3</x:v>
      </x:c>
      <x:c r="B32" t="str">
        <x:v>A3</x:v>
      </x:c>
      <x:c r="C32" t="str">
        <x:v>Студенческие события</x:v>
      </x:c>
      <x:c r="D32" s="9" t="n">
        <x:v>7</x:v>
      </x:c>
      <x:c r="E32" s="9" t="n">
        <x:v>8</x:v>
      </x:c>
      <x:c r="F32" s="9" t="n">
        <x:v>9</x:v>
      </x:c>
      <x:c r="G32" s="9" t="n">
        <x:v>7</x:v>
      </x:c>
      <x:c r="H32" s="9" t="n">
        <x:v>8</x:v>
      </x:c>
      <x:c r="I32" s="9" t="n">
        <x:v>9</x:v>
      </x:c>
      <x:c r="J32" s="9" t="n">
        <x:v>7</x:v>
      </x:c>
      <x:c r="K32" s="9" t="n">
        <x:v>8</x:v>
      </x:c>
      <x:c r="L32" s="9" t="n">
        <x:v>9</x:v>
      </x:c>
      <x:c r="M32" s="9" t="n">
        <x:v>8</x:v>
      </x:c>
      <x:c r="N32" s="9" t="n">
        <x:v>9</x:v>
      </x:c>
      <x:c r="O32" s="9" t="n">
        <x:v>9</x:v>
      </x:c>
    </x:row>
    <x:row r="33">
      <x:c r="A33" t="str">
        <x:v>C3</x:v>
      </x:c>
      <x:c r="B33" t="str">
        <x:v>A4</x:v>
      </x:c>
      <x:c r="C33" t="str">
        <x:v>Волонтёрские смены</x:v>
      </x:c>
      <x:c r="D33" s="9" t="n">
        <x:v>6</x:v>
      </x:c>
      <x:c r="E33" s="9" t="n">
        <x:v>7</x:v>
      </x:c>
      <x:c r="F33" s="9" t="n">
        <x:v>8</x:v>
      </x:c>
      <x:c r="G33" s="9" t="n">
        <x:v>6</x:v>
      </x:c>
      <x:c r="H33" s="9" t="n">
        <x:v>7</x:v>
      </x:c>
      <x:c r="I33" s="9" t="n">
        <x:v>8</x:v>
      </x:c>
      <x:c r="J33" s="9" t="n">
        <x:v>7</x:v>
      </x:c>
      <x:c r="K33" s="9" t="n">
        <x:v>8</x:v>
      </x:c>
      <x:c r="L33" s="9" t="n">
        <x:v>9</x:v>
      </x:c>
      <x:c r="M33" s="9" t="n">
        <x:v>6</x:v>
      </x:c>
      <x:c r="N33" s="9" t="n">
        <x:v>7</x:v>
      </x:c>
      <x:c r="O33" s="9" t="n">
        <x:v>8</x:v>
      </x:c>
    </x:row>
    <x:row r="34">
      <x:c r="A34" t="str">
        <x:v>C4</x:v>
      </x:c>
      <x:c r="B34" t="str">
        <x:v>A1</x:v>
      </x:c>
      <x:c r="C34" t="str">
        <x:v>Бронирование помещений</x:v>
      </x:c>
      <x:c r="D34" s="9" t="n">
        <x:v>6</x:v>
      </x:c>
      <x:c r="E34" s="9" t="n">
        <x:v>7</x:v>
      </x:c>
      <x:c r="F34" s="9" t="n">
        <x:v>8</x:v>
      </x:c>
      <x:c r="G34" s="9" t="n">
        <x:v>6</x:v>
      </x:c>
      <x:c r="H34" s="9" t="n">
        <x:v>7</x:v>
      </x:c>
      <x:c r="I34" s="9" t="n">
        <x:v>8</x:v>
      </x:c>
      <x:c r="J34" s="9" t="n">
        <x:v>6</x:v>
      </x:c>
      <x:c r="K34" s="9" t="n">
        <x:v>7</x:v>
      </x:c>
      <x:c r="L34" s="9" t="n">
        <x:v>8</x:v>
      </x:c>
      <x:c r="M34" s="9" t="n">
        <x:v>6</x:v>
      </x:c>
      <x:c r="N34" s="9" t="n">
        <x:v>7</x:v>
      </x:c>
      <x:c r="O34" s="9" t="n">
        <x:v>8</x:v>
      </x:c>
    </x:row>
    <x:row r="35">
      <x:c r="A35" t="str">
        <x:v>C4</x:v>
      </x:c>
      <x:c r="B35" t="str">
        <x:v>A2</x:v>
      </x:c>
      <x:c r="C35" t="str">
        <x:v>Учебные группы</x:v>
      </x:c>
      <x:c r="D35" s="9" t="n">
        <x:v>5</x:v>
      </x:c>
      <x:c r="E35" s="9" t="n">
        <x:v>6</x:v>
      </x:c>
      <x:c r="F35" s="9" t="n">
        <x:v>7</x:v>
      </x:c>
      <x:c r="G35" s="9" t="n">
        <x:v>5</x:v>
      </x:c>
      <x:c r="H35" s="9" t="n">
        <x:v>6</x:v>
      </x:c>
      <x:c r="I35" s="9" t="n">
        <x:v>7</x:v>
      </x:c>
      <x:c r="J35" s="9" t="n">
        <x:v>5</x:v>
      </x:c>
      <x:c r="K35" s="9" t="n">
        <x:v>6</x:v>
      </x:c>
      <x:c r="L35" s="9" t="n">
        <x:v>7</x:v>
      </x:c>
      <x:c r="M35" s="9" t="n">
        <x:v>5</x:v>
      </x:c>
      <x:c r="N35" s="9" t="n">
        <x:v>6</x:v>
      </x:c>
      <x:c r="O35" s="9" t="n">
        <x:v>7</x:v>
      </x:c>
    </x:row>
    <x:row r="36">
      <x:c r="A36" t="str">
        <x:v>C4</x:v>
      </x:c>
      <x:c r="B36" t="str">
        <x:v>A3</x:v>
      </x:c>
      <x:c r="C36" t="str">
        <x:v>Студенческие события</x:v>
      </x:c>
      <x:c r="D36" s="9" t="n">
        <x:v>7</x:v>
      </x:c>
      <x:c r="E36" s="9" t="n">
        <x:v>8</x:v>
      </x:c>
      <x:c r="F36" s="9" t="n">
        <x:v>9</x:v>
      </x:c>
      <x:c r="G36" s="9" t="n">
        <x:v>7</x:v>
      </x:c>
      <x:c r="H36" s="9" t="n">
        <x:v>8</x:v>
      </x:c>
      <x:c r="I36" s="9" t="n">
        <x:v>9</x:v>
      </x:c>
      <x:c r="J36" s="9" t="n">
        <x:v>7</x:v>
      </x:c>
      <x:c r="K36" s="9" t="n">
        <x:v>8</x:v>
      </x:c>
      <x:c r="L36" s="9" t="n">
        <x:v>9</x:v>
      </x:c>
      <x:c r="M36" s="9" t="n">
        <x:v>7</x:v>
      </x:c>
      <x:c r="N36" s="9" t="n">
        <x:v>8</x:v>
      </x:c>
      <x:c r="O36" s="9" t="n">
        <x:v>9</x:v>
      </x:c>
    </x:row>
    <x:row r="37">
      <x:c r="A37" t="str">
        <x:v>C4</x:v>
      </x:c>
      <x:c r="B37" t="str">
        <x:v>A4</x:v>
      </x:c>
      <x:c r="C37" t="str">
        <x:v>Волонтёрские смены</x:v>
      </x:c>
      <x:c r="D37" s="9" t="n">
        <x:v>8</x:v>
      </x:c>
      <x:c r="E37" s="9" t="n">
        <x:v>9</x:v>
      </x:c>
      <x:c r="F37" s="9" t="n">
        <x:v>9</x:v>
      </x:c>
      <x:c r="G37" s="9" t="n">
        <x:v>7</x:v>
      </x:c>
      <x:c r="H37" s="9" t="n">
        <x:v>8</x:v>
      </x:c>
      <x:c r="I37" s="9" t="n">
        <x:v>9</x:v>
      </x:c>
      <x:c r="J37" s="9" t="n">
        <x:v>8</x:v>
      </x:c>
      <x:c r="K37" s="9" t="n">
        <x:v>9</x:v>
      </x:c>
      <x:c r="L37" s="9" t="n">
        <x:v>9</x:v>
      </x:c>
      <x:c r="M37" s="9" t="n">
        <x:v>8</x:v>
      </x:c>
      <x:c r="N37" s="9" t="n">
        <x:v>9</x:v>
      </x:c>
      <x:c r="O37" s="9" t="n">
        <x:v>9</x:v>
      </x:c>
    </x:row>
    <x:row r="39">
      <x:c r="A39" s="4" t="str">
        <x:v>4 Парные сравнения МАИ — предпочтение первого элемента относительно второго</x:v>
      </x:c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</x:row>
    <x:row r="40">
      <x:c r="A40" s="8" t="str">
        <x:v>Матрица</x:v>
      </x:c>
      <x:c r="B40" s="8" t="str">
        <x:v>Первый элемент</x:v>
      </x:c>
      <x:c r="C40" s="8" t="str">
        <x:v>Второй элемент</x:v>
      </x:c>
      <x:c r="D40" s="8" t="str">
        <x:v>Р. Иванин</x:v>
      </x:c>
      <x:c r="E40" s="8" t="str">
        <x:v>Е. Баулин</x:v>
      </x:c>
      <x:c r="F40" s="8" t="str">
        <x:v>Н. Миленин</x:v>
      </x:c>
      <x:c r="G40" s="8" t="str">
        <x:v>М. Соу</x:v>
      </x:c>
    </x:row>
    <x:row r="41">
      <x:c r="A41" t="str">
        <x:v>Критерии</x:v>
      </x:c>
      <x:c r="B41" t="str">
        <x:v>C1 Полезность</x:v>
      </x:c>
      <x:c r="C41" t="str">
        <x:v>C2 Реализуемость</x:v>
      </x:c>
      <x:c r="D41" s="10" t="n">
        <x:v>1</x:v>
      </x:c>
      <x:c r="E41" s="10" t="n">
        <x:v>2</x:v>
      </x:c>
      <x:c r="F41" s="10" t="n">
        <x:v>0.5</x:v>
      </x:c>
      <x:c r="G41" s="10" t="n">
        <x:v>1</x:v>
      </x:c>
    </x:row>
    <x:row r="42">
      <x:c r="A42" t="str">
        <x:v>Критерии</x:v>
      </x:c>
      <x:c r="B42" t="str">
        <x:v>C1 Полезность</x:v>
      </x:c>
      <x:c r="C42" t="str">
        <x:v>C3 Ясность сценариев</x:v>
      </x:c>
      <x:c r="D42" s="10" t="n">
        <x:v>2</x:v>
      </x:c>
      <x:c r="E42" s="10" t="n">
        <x:v>3</x:v>
      </x:c>
      <x:c r="F42" s="10" t="n">
        <x:v>2</x:v>
      </x:c>
      <x:c r="G42" s="10" t="n">
        <x:v>2</x:v>
      </x:c>
    </x:row>
    <x:row r="43">
      <x:c r="A43" t="str">
        <x:v>Критерии</x:v>
      </x:c>
      <x:c r="B43" t="str">
        <x:v>C1 Полезность</x:v>
      </x:c>
      <x:c r="C43" t="str">
        <x:v>C4 Пригодность для планирования</x:v>
      </x:c>
      <x:c r="D43" s="10" t="n">
        <x:v>1</x:v>
      </x:c>
      <x:c r="E43" s="10" t="n">
        <x:v>2</x:v>
      </x:c>
      <x:c r="F43" s="10" t="n">
        <x:v>1</x:v>
      </x:c>
      <x:c r="G43" s="10" t="n">
        <x:v>1</x:v>
      </x:c>
    </x:row>
    <x:row r="44">
      <x:c r="A44" t="str">
        <x:v>Критерии</x:v>
      </x:c>
      <x:c r="B44" t="str">
        <x:v>C2 Реализуемость</x:v>
      </x:c>
      <x:c r="C44" t="str">
        <x:v>C3 Ясность сценариев</x:v>
      </x:c>
      <x:c r="D44" s="10" t="n">
        <x:v>2</x:v>
      </x:c>
      <x:c r="E44" s="10" t="n">
        <x:v>2</x:v>
      </x:c>
      <x:c r="F44" s="10" t="n">
        <x:v>3</x:v>
      </x:c>
      <x:c r="G44" s="10" t="n">
        <x:v>2</x:v>
      </x:c>
    </x:row>
    <x:row r="45">
      <x:c r="A45" t="str">
        <x:v>Критерии</x:v>
      </x:c>
      <x:c r="B45" t="str">
        <x:v>C2 Реализуемость</x:v>
      </x:c>
      <x:c r="C45" t="str">
        <x:v>C4 Пригодность для планирования</x:v>
      </x:c>
      <x:c r="D45" s="10" t="n">
        <x:v>1</x:v>
      </x:c>
      <x:c r="E45" s="10" t="n">
        <x:v>1</x:v>
      </x:c>
      <x:c r="F45" s="10" t="n">
        <x:v>2</x:v>
      </x:c>
      <x:c r="G45" s="10" t="n">
        <x:v>1</x:v>
      </x:c>
    </x:row>
    <x:row r="46">
      <x:c r="A46" t="str">
        <x:v>Критерии</x:v>
      </x:c>
      <x:c r="B46" t="str">
        <x:v>C3 Ясность сценариев</x:v>
      </x:c>
      <x:c r="C46" t="str">
        <x:v>C4 Пригодность для планирования</x:v>
      </x:c>
      <x:c r="D46" s="10" t="n">
        <x:v>0.5</x:v>
      </x:c>
      <x:c r="E46" s="10" t="n">
        <x:v>0.5</x:v>
      </x:c>
      <x:c r="F46" s="10" t="n">
        <x:v>0.5</x:v>
      </x:c>
      <x:c r="G46" s="10" t="n">
        <x:v>0.3333333333333333</x:v>
      </x:c>
    </x:row>
    <x:row r="47">
      <x:c r="A47" t="str">
        <x:v>C1 Полезность</x:v>
      </x:c>
      <x:c r="B47" t="str">
        <x:v>A1 Бронирование помещений</x:v>
      </x:c>
      <x:c r="C47" t="str">
        <x:v>A2 Учебные группы</x:v>
      </x:c>
      <x:c r="D47" s="10" t="n">
        <x:v>1</x:v>
      </x:c>
      <x:c r="E47" s="10" t="n">
        <x:v>0.5</x:v>
      </x:c>
      <x:c r="F47" s="10" t="n">
        <x:v>1</x:v>
      </x:c>
      <x:c r="G47" s="10" t="n">
        <x:v>1</x:v>
      </x:c>
    </x:row>
    <x:row r="48">
      <x:c r="A48" t="str">
        <x:v>C1 Полезность</x:v>
      </x:c>
      <x:c r="B48" t="str">
        <x:v>A1 Бронирование помещений</x:v>
      </x:c>
      <x:c r="C48" t="str">
        <x:v>A3 Студенческие события</x:v>
      </x:c>
      <x:c r="D48" s="10" t="n">
        <x:v>0.5</x:v>
      </x:c>
      <x:c r="E48" s="10" t="n">
        <x:v>0.3333333333333333</x:v>
      </x:c>
      <x:c r="F48" s="10" t="n">
        <x:v>1</x:v>
      </x:c>
      <x:c r="G48" s="10" t="n">
        <x:v>0.5</x:v>
      </x:c>
    </x:row>
    <x:row r="49">
      <x:c r="A49" t="str">
        <x:v>C1 Полезность</x:v>
      </x:c>
      <x:c r="B49" t="str">
        <x:v>A1 Бронирование помещений</x:v>
      </x:c>
      <x:c r="C49" t="str">
        <x:v>A4 Волонтёрские смены</x:v>
      </x:c>
      <x:c r="D49" s="10" t="n">
        <x:v>1</x:v>
      </x:c>
      <x:c r="E49" s="10" t="n">
        <x:v>0.5</x:v>
      </x:c>
      <x:c r="F49" s="10" t="n">
        <x:v>1</x:v>
      </x:c>
      <x:c r="G49" s="10" t="n">
        <x:v>1</x:v>
      </x:c>
    </x:row>
    <x:row r="50">
      <x:c r="A50" t="str">
        <x:v>C1 Полезность</x:v>
      </x:c>
      <x:c r="B50" t="str">
        <x:v>A2 Учебные группы</x:v>
      </x:c>
      <x:c r="C50" t="str">
        <x:v>A3 Студенческие события</x:v>
      </x:c>
      <x:c r="D50" s="10" t="n">
        <x:v>0.5</x:v>
      </x:c>
      <x:c r="E50" s="10" t="n">
        <x:v>0.5</x:v>
      </x:c>
      <x:c r="F50" s="10" t="n">
        <x:v>1</x:v>
      </x:c>
      <x:c r="G50" s="10" t="n">
        <x:v>0.5</x:v>
      </x:c>
    </x:row>
    <x:row r="51">
      <x:c r="A51" t="str">
        <x:v>C1 Полезность</x:v>
      </x:c>
      <x:c r="B51" t="str">
        <x:v>A2 Учебные группы</x:v>
      </x:c>
      <x:c r="C51" t="str">
        <x:v>A4 Волонтёрские смены</x:v>
      </x:c>
      <x:c r="D51" s="10" t="n">
        <x:v>1</x:v>
      </x:c>
      <x:c r="E51" s="10" t="n">
        <x:v>1</x:v>
      </x:c>
      <x:c r="F51" s="10" t="n">
        <x:v>1</x:v>
      </x:c>
      <x:c r="G51" s="10" t="n">
        <x:v>1</x:v>
      </x:c>
    </x:row>
    <x:row r="52">
      <x:c r="A52" t="str">
        <x:v>C1 Полезность</x:v>
      </x:c>
      <x:c r="B52" t="str">
        <x:v>A3 Студенческие события</x:v>
      </x:c>
      <x:c r="C52" t="str">
        <x:v>A4 Волонтёрские смены</x:v>
      </x:c>
      <x:c r="D52" s="10" t="n">
        <x:v>1</x:v>
      </x:c>
      <x:c r="E52" s="10" t="n">
        <x:v>1</x:v>
      </x:c>
      <x:c r="F52" s="10" t="n">
        <x:v>1</x:v>
      </x:c>
      <x:c r="G52" s="10" t="n">
        <x:v>1</x:v>
      </x:c>
    </x:row>
    <x:row r="53">
      <x:c r="A53" t="str">
        <x:v>C2 Реализуемость</x:v>
      </x:c>
      <x:c r="B53" t="str">
        <x:v>A1 Бронирование помещений</x:v>
      </x:c>
      <x:c r="C53" t="str">
        <x:v>A2 Учебные группы</x:v>
      </x:c>
      <x:c r="D53" s="10" t="n">
        <x:v>0.3333333333333333</x:v>
      </x:c>
      <x:c r="E53" s="10" t="n">
        <x:v>0.5</x:v>
      </x:c>
      <x:c r="F53" s="10" t="n">
        <x:v>0.3333333333333333</x:v>
      </x:c>
      <x:c r="G53" s="10" t="n">
        <x:v>0.5</x:v>
      </x:c>
    </x:row>
    <x:row r="54">
      <x:c r="A54" t="str">
        <x:v>C2 Реализуемость</x:v>
      </x:c>
      <x:c r="B54" t="str">
        <x:v>A1 Бронирование помещений</x:v>
      </x:c>
      <x:c r="C54" t="str">
        <x:v>A3 Студенческие события</x:v>
      </x:c>
      <x:c r="D54" s="10" t="n">
        <x:v>0.5</x:v>
      </x:c>
      <x:c r="E54" s="10" t="n">
        <x:v>1</x:v>
      </x:c>
      <x:c r="F54" s="10" t="n">
        <x:v>0.3333333333333333</x:v>
      </x:c>
      <x:c r="G54" s="10" t="n">
        <x:v>1</x:v>
      </x:c>
    </x:row>
    <x:row r="55">
      <x:c r="A55" t="str">
        <x:v>C2 Реализуемость</x:v>
      </x:c>
      <x:c r="B55" t="str">
        <x:v>A1 Бронирование помещений</x:v>
      </x:c>
      <x:c r="C55" t="str">
        <x:v>A4 Волонтёрские смены</x:v>
      </x:c>
      <x:c r="D55" s="10" t="n">
        <x:v>0.5</x:v>
      </x:c>
      <x:c r="E55" s="10" t="n">
        <x:v>1</x:v>
      </x:c>
      <x:c r="F55" s="10" t="n">
        <x:v>0.5</x:v>
      </x:c>
      <x:c r="G55" s="10" t="n">
        <x:v>1</x:v>
      </x:c>
    </x:row>
    <x:row r="56">
      <x:c r="A56" t="str">
        <x:v>C2 Реализуемость</x:v>
      </x:c>
      <x:c r="B56" t="str">
        <x:v>A2 Учебные группы</x:v>
      </x:c>
      <x:c r="C56" t="str">
        <x:v>A3 Студенческие события</x:v>
      </x:c>
      <x:c r="D56" s="10" t="n">
        <x:v>1</x:v>
      </x:c>
      <x:c r="E56" s="10" t="n">
        <x:v>1</x:v>
      </x:c>
      <x:c r="F56" s="10" t="n">
        <x:v>1</x:v>
      </x:c>
      <x:c r="G56" s="10" t="n">
        <x:v>1</x:v>
      </x:c>
    </x:row>
    <x:row r="57">
      <x:c r="A57" t="str">
        <x:v>C2 Реализуемость</x:v>
      </x:c>
      <x:c r="B57" t="str">
        <x:v>A2 Учебные группы</x:v>
      </x:c>
      <x:c r="C57" t="str">
        <x:v>A4 Волонтёрские смены</x:v>
      </x:c>
      <x:c r="D57" s="10" t="n">
        <x:v>2</x:v>
      </x:c>
      <x:c r="E57" s="10" t="n">
        <x:v>2</x:v>
      </x:c>
      <x:c r="F57" s="10" t="n">
        <x:v>2</x:v>
      </x:c>
      <x:c r="G57" s="10" t="n">
        <x:v>2</x:v>
      </x:c>
    </x:row>
    <x:row r="58">
      <x:c r="A58" t="str">
        <x:v>C2 Реализуемость</x:v>
      </x:c>
      <x:c r="B58" t="str">
        <x:v>A3 Студенческие события</x:v>
      </x:c>
      <x:c r="C58" t="str">
        <x:v>A4 Волонтёрские смены</x:v>
      </x:c>
      <x:c r="D58" s="10" t="n">
        <x:v>1</x:v>
      </x:c>
      <x:c r="E58" s="10" t="n">
        <x:v>1</x:v>
      </x:c>
      <x:c r="F58" s="10" t="n">
        <x:v>2</x:v>
      </x:c>
      <x:c r="G58" s="10" t="n">
        <x:v>1</x:v>
      </x:c>
    </x:row>
    <x:row r="59">
      <x:c r="A59" t="str">
        <x:v>C3 Ясность сценариев</x:v>
      </x:c>
      <x:c r="B59" t="str">
        <x:v>A1 Бронирование помещений</x:v>
      </x:c>
      <x:c r="C59" t="str">
        <x:v>A2 Учебные группы</x:v>
      </x:c>
      <x:c r="D59" s="10" t="n">
        <x:v>3</x:v>
      </x:c>
      <x:c r="E59" s="10" t="n">
        <x:v>2</x:v>
      </x:c>
      <x:c r="F59" s="10" t="n">
        <x:v>3</x:v>
      </x:c>
      <x:c r="G59" s="10" t="n">
        <x:v>1</x:v>
      </x:c>
    </x:row>
    <x:row r="60">
      <x:c r="A60" t="str">
        <x:v>C3 Ясность сценариев</x:v>
      </x:c>
      <x:c r="B60" t="str">
        <x:v>A1 Бронирование помещений</x:v>
      </x:c>
      <x:c r="C60" t="str">
        <x:v>A3 Студенческие события</x:v>
      </x:c>
      <x:c r="D60" s="10" t="n">
        <x:v>1</x:v>
      </x:c>
      <x:c r="E60" s="10" t="n">
        <x:v>1</x:v>
      </x:c>
      <x:c r="F60" s="10" t="n">
        <x:v>1</x:v>
      </x:c>
      <x:c r="G60" s="10" t="n">
        <x:v>1</x:v>
      </x:c>
    </x:row>
    <x:row r="61">
      <x:c r="A61" t="str">
        <x:v>C3 Ясность сценариев</x:v>
      </x:c>
      <x:c r="B61" t="str">
        <x:v>A1 Бронирование помещений</x:v>
      </x:c>
      <x:c r="C61" t="str">
        <x:v>A4 Волонтёрские смены</x:v>
      </x:c>
      <x:c r="D61" s="10" t="n">
        <x:v>2</x:v>
      </x:c>
      <x:c r="E61" s="10" t="n">
        <x:v>1</x:v>
      </x:c>
      <x:c r="F61" s="10" t="n">
        <x:v>1</x:v>
      </x:c>
      <x:c r="G61" s="10" t="n">
        <x:v>1</x:v>
      </x:c>
    </x:row>
    <x:row r="62">
      <x:c r="A62" t="str">
        <x:v>C3 Ясность сценариев</x:v>
      </x:c>
      <x:c r="B62" t="str">
        <x:v>A2 Учебные группы</x:v>
      </x:c>
      <x:c r="C62" t="str">
        <x:v>A3 Студенческие события</x:v>
      </x:c>
      <x:c r="D62" s="10" t="n">
        <x:v>0.3333333333333333</x:v>
      </x:c>
      <x:c r="E62" s="10" t="n">
        <x:v>0.3333333333333333</x:v>
      </x:c>
      <x:c r="F62" s="10" t="n">
        <x:v>0.5</x:v>
      </x:c>
      <x:c r="G62" s="10" t="n">
        <x:v>0.5</x:v>
      </x:c>
    </x:row>
    <x:row r="63">
      <x:c r="A63" t="str">
        <x:v>C3 Ясность сценариев</x:v>
      </x:c>
      <x:c r="B63" t="str">
        <x:v>A2 Учебные группы</x:v>
      </x:c>
      <x:c r="C63" t="str">
        <x:v>A4 Волонтёрские смены</x:v>
      </x:c>
      <x:c r="D63" s="10" t="n">
        <x:v>0.5</x:v>
      </x:c>
      <x:c r="E63" s="10" t="n">
        <x:v>0.5</x:v>
      </x:c>
      <x:c r="F63" s="10" t="n">
        <x:v>0.5</x:v>
      </x:c>
      <x:c r="G63" s="10" t="n">
        <x:v>1</x:v>
      </x:c>
    </x:row>
    <x:row r="64">
      <x:c r="A64" t="str">
        <x:v>C3 Ясность сценариев</x:v>
      </x:c>
      <x:c r="B64" t="str">
        <x:v>A3 Студенческие события</x:v>
      </x:c>
      <x:c r="C64" t="str">
        <x:v>A4 Волонтёрские смены</x:v>
      </x:c>
      <x:c r="D64" s="10" t="n">
        <x:v>2</x:v>
      </x:c>
      <x:c r="E64" s="10" t="n">
        <x:v>2</x:v>
      </x:c>
      <x:c r="F64" s="10" t="n">
        <x:v>1</x:v>
      </x:c>
      <x:c r="G64" s="10" t="n">
        <x:v>2</x:v>
      </x:c>
    </x:row>
    <x:row r="65">
      <x:c r="A65" t="str">
        <x:v>C4 Пригодность для планирования</x:v>
      </x:c>
      <x:c r="B65" t="str">
        <x:v>A1 Бронирование помещений</x:v>
      </x:c>
      <x:c r="C65" t="str">
        <x:v>A2 Учебные группы</x:v>
      </x:c>
      <x:c r="D65" s="10" t="n">
        <x:v>2</x:v>
      </x:c>
      <x:c r="E65" s="10" t="n">
        <x:v>2</x:v>
      </x:c>
      <x:c r="F65" s="10" t="n">
        <x:v>2</x:v>
      </x:c>
      <x:c r="G65" s="10" t="n">
        <x:v>2</x:v>
      </x:c>
    </x:row>
    <x:row r="66">
      <x:c r="A66" t="str">
        <x:v>C4 Пригодность для планирования</x:v>
      </x:c>
      <x:c r="B66" t="str">
        <x:v>A1 Бронирование помещений</x:v>
      </x:c>
      <x:c r="C66" t="str">
        <x:v>A3 Студенческие события</x:v>
      </x:c>
      <x:c r="D66" s="10" t="n">
        <x:v>1</x:v>
      </x:c>
      <x:c r="E66" s="10" t="n">
        <x:v>1</x:v>
      </x:c>
      <x:c r="F66" s="10" t="n">
        <x:v>1</x:v>
      </x:c>
      <x:c r="G66" s="10" t="n">
        <x:v>1</x:v>
      </x:c>
    </x:row>
    <x:row r="67">
      <x:c r="A67" t="str">
        <x:v>C4 Пригодность для планирования</x:v>
      </x:c>
      <x:c r="B67" t="str">
        <x:v>A1 Бронирование помещений</x:v>
      </x:c>
      <x:c r="C67" t="str">
        <x:v>A4 Волонтёрские смены</x:v>
      </x:c>
      <x:c r="D67" s="10" t="n">
        <x:v>0.5</x:v>
      </x:c>
      <x:c r="E67" s="10" t="n">
        <x:v>1</x:v>
      </x:c>
      <x:c r="F67" s="10" t="n">
        <x:v>0.5</x:v>
      </x:c>
      <x:c r="G67" s="10" t="n">
        <x:v>0.5</x:v>
      </x:c>
    </x:row>
    <x:row r="68">
      <x:c r="A68" t="str">
        <x:v>C4 Пригодность для планирования</x:v>
      </x:c>
      <x:c r="B68" t="str">
        <x:v>A2 Учебные группы</x:v>
      </x:c>
      <x:c r="C68" t="str">
        <x:v>A3 Студенческие события</x:v>
      </x:c>
      <x:c r="D68" s="10" t="n">
        <x:v>0.5</x:v>
      </x:c>
      <x:c r="E68" s="10" t="n">
        <x:v>0.5</x:v>
      </x:c>
      <x:c r="F68" s="10" t="n">
        <x:v>0.5</x:v>
      </x:c>
      <x:c r="G68" s="10" t="n">
        <x:v>0.5</x:v>
      </x:c>
    </x:row>
    <x:row r="69">
      <x:c r="A69" t="str">
        <x:v>C4 Пригодность для планирования</x:v>
      </x:c>
      <x:c r="B69" t="str">
        <x:v>A2 Учебные группы</x:v>
      </x:c>
      <x:c r="C69" t="str">
        <x:v>A4 Волонтёрские смены</x:v>
      </x:c>
      <x:c r="D69" s="10" t="n">
        <x:v>0.3333333333333333</x:v>
      </x:c>
      <x:c r="E69" s="10" t="n">
        <x:v>0.5</x:v>
      </x:c>
      <x:c r="F69" s="10" t="n">
        <x:v>0.3333333333333333</x:v>
      </x:c>
      <x:c r="G69" s="10" t="n">
        <x:v>0.3333333333333333</x:v>
      </x:c>
    </x:row>
    <x:row r="70">
      <x:c r="A70" t="str">
        <x:v>C4 Пригодность для планирования</x:v>
      </x:c>
      <x:c r="B70" t="str">
        <x:v>A3 Студенческие события</x:v>
      </x:c>
      <x:c r="C70" t="str">
        <x:v>A4 Волонтёрские смены</x:v>
      </x:c>
      <x:c r="D70" s="10" t="n">
        <x:v>1</x:v>
      </x:c>
      <x:c r="E70" s="10" t="n">
        <x:v>1</x:v>
      </x:c>
      <x:c r="F70" s="10" t="n">
        <x:v>1</x:v>
      </x:c>
      <x:c r="G70" s="10" t="n">
        <x:v>1</x:v>
      </x:c>
    </x:row>
  </x:sheetData>
  <x:mergeCells>
    <x:mergeCell ref="A1:O1"/>
    <x:mergeCell ref="A2:O2"/>
    <x:mergeCell ref="A4:O4"/>
    <x:mergeCell ref="D5:F5"/>
    <x:mergeCell ref="G5:I5"/>
    <x:mergeCell ref="J5:L5"/>
    <x:mergeCell ref="M5:O5"/>
    <x:mergeCell ref="A12:O12"/>
    <x:mergeCell ref="A19:O19"/>
    <x:mergeCell ref="D20:F20"/>
    <x:mergeCell ref="G20:I20"/>
    <x:mergeCell ref="J20:L20"/>
    <x:mergeCell ref="M20:O20"/>
    <x:mergeCell ref="A39:O3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3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6" t="str">
        <x:v>Расчёт TOPSIS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</x:row>
    <x:row r="3">
      <x:c r="A3" s="11" t="str">
        <x:v>Критерий</x:v>
      </x:c>
      <x:c r="B3" s="11" t="str">
        <x:v>Вес l</x:v>
      </x:c>
      <x:c r="C3" s="11" t="str">
        <x:v>Вес m</x:v>
      </x:c>
      <x:c r="D3" s="11" t="str">
        <x:v>Вес u</x:v>
      </x:c>
      <x:c r="E3" s="11" t="str">
        <x:v>Норм. l</x:v>
      </x:c>
      <x:c r="F3" s="11" t="str">
        <x:v>Норм. m</x:v>
      </x:c>
      <x:c r="G3" s="11" t="str">
        <x:v>Норм. u</x:v>
      </x:c>
      <x:c r="H3" s="11" t="str">
        <x:v>Делитель Uj</x:v>
      </x:c>
      <x:c r="I3" s="12"/>
      <x:c r="J3" s="12"/>
      <x:c r="K3" s="12"/>
      <x:c r="L3" s="12"/>
    </x:row>
    <x:row r="4">
      <x:c r="A4" s="12" t="str">
        <x:v>C1 Полезность</x:v>
      </x:c>
      <x:c r="B4" s="13" t="n">
        <x:f>AVERAGE('Оценки'!D7,'Оценки'!G7,'Оценки'!J7,'Оценки'!M7)</x:f>
        <x:v>7</x:v>
      </x:c>
      <x:c r="C4" s="13" t="n">
        <x:f>AVERAGE('Оценки'!E7,'Оценки'!H7,'Оценки'!K7,'Оценки'!N7)</x:f>
        <x:v>8</x:v>
      </x:c>
      <x:c r="D4" s="13" t="n">
        <x:f>AVERAGE('Оценки'!F7,'Оценки'!I7,'Оценки'!L7,'Оценки'!O7)</x:f>
        <x:v>8.75</x:v>
      </x:c>
      <x:c r="E4" s="13" t="n">
        <x:f>B4/$D$9</x:f>
        <x:v>0.2153846153846154</x:v>
      </x:c>
      <x:c r="F4" s="13" t="n">
        <x:f>C4/$D$9</x:f>
        <x:v>0.24615384615384617</x:v>
      </x:c>
      <x:c r="G4" s="13" t="n">
        <x:f>D4/$D$9</x:f>
        <x:v>0.2692307692307692</x:v>
      </x:c>
      <x:c r="H4" s="13" t="n">
        <x:f>MAX(E13,E17,E21,E25)</x:f>
        <x:v>9</x:v>
      </x:c>
      <x:c r="I4" s="13"/>
      <x:c r="J4" s="13"/>
      <x:c r="K4" s="13"/>
      <x:c r="L4" s="13"/>
    </x:row>
    <x:row r="5">
      <x:c r="A5" s="12" t="str">
        <x:v>C2 Реализуемость</x:v>
      </x:c>
      <x:c r="B5" s="13" t="n">
        <x:f>AVERAGE('Оценки'!D8,'Оценки'!G8,'Оценки'!J8,'Оценки'!M8)</x:f>
        <x:v>6.75</x:v>
      </x:c>
      <x:c r="C5" s="13" t="n">
        <x:f>AVERAGE('Оценки'!E8,'Оценки'!H8,'Оценки'!K8,'Оценки'!N8)</x:f>
        <x:v>7.75</x:v>
      </x:c>
      <x:c r="D5" s="13" t="n">
        <x:f>AVERAGE('Оценки'!F8,'Оценки'!I8,'Оценки'!L8,'Оценки'!O8)</x:f>
        <x:v>8.5</x:v>
      </x:c>
      <x:c r="E5" s="13" t="n">
        <x:f>B5/$D$9</x:f>
        <x:v>0.2076923076923077</x:v>
      </x:c>
      <x:c r="F5" s="13" t="n">
        <x:f>C5/$D$9</x:f>
        <x:v>0.23846153846153847</x:v>
      </x:c>
      <x:c r="G5" s="13" t="n">
        <x:f>D5/$D$9</x:f>
        <x:v>0.26153846153846155</x:v>
      </x:c>
      <x:c r="H5" s="13" t="n">
        <x:f>MAX(E14,E18,E22,E26)</x:f>
        <x:v>9</x:v>
      </x:c>
      <x:c r="I5" s="13"/>
      <x:c r="J5" s="13"/>
      <x:c r="K5" s="13"/>
      <x:c r="L5" s="13"/>
    </x:row>
    <x:row r="6">
      <x:c r="A6" s="12" t="str">
        <x:v>C3 Ясность сценариев</x:v>
      </x:c>
      <x:c r="B6" s="13" t="n">
        <x:f>AVERAGE('Оценки'!D9,'Оценки'!G9,'Оценки'!J9,'Оценки'!M9)</x:f>
        <x:v>5.5</x:v>
      </x:c>
      <x:c r="C6" s="13" t="n">
        <x:f>AVERAGE('Оценки'!E9,'Оценки'!H9,'Оценки'!K9,'Оценки'!N9)</x:f>
        <x:v>6.5</x:v>
      </x:c>
      <x:c r="D6" s="13" t="n">
        <x:f>AVERAGE('Оценки'!F9,'Оценки'!I9,'Оценки'!L9,'Оценки'!O9)</x:f>
        <x:v>7.5</x:v>
      </x:c>
      <x:c r="E6" s="13" t="n">
        <x:f>B6/$D$9</x:f>
        <x:v>0.16923076923076924</x:v>
      </x:c>
      <x:c r="F6" s="13" t="n">
        <x:f>C6/$D$9</x:f>
        <x:v>0.2</x:v>
      </x:c>
      <x:c r="G6" s="13" t="n">
        <x:f>D6/$D$9</x:f>
        <x:v>0.23076923076923078</x:v>
      </x:c>
      <x:c r="H6" s="13" t="n">
        <x:f>MAX(E15,E19,E23,E27)</x:f>
        <x:v>9</x:v>
      </x:c>
      <x:c r="I6" s="13"/>
      <x:c r="J6" s="13"/>
      <x:c r="K6" s="13"/>
      <x:c r="L6" s="13"/>
    </x:row>
    <x:row r="7">
      <x:c r="A7" s="12" t="str">
        <x:v>C4 Пригодность для планирования</x:v>
      </x:c>
      <x:c r="B7" s="13" t="n">
        <x:f>AVERAGE('Оценки'!D10,'Оценки'!G10,'Оценки'!J10,'Оценки'!M10)</x:f>
        <x:v>6</x:v>
      </x:c>
      <x:c r="C7" s="13" t="n">
        <x:f>AVERAGE('Оценки'!E10,'Оценки'!H10,'Оценки'!K10,'Оценки'!N10)</x:f>
        <x:v>7</x:v>
      </x:c>
      <x:c r="D7" s="13" t="n">
        <x:f>AVERAGE('Оценки'!F10,'Оценки'!I10,'Оценки'!L10,'Оценки'!O10)</x:f>
        <x:v>7.75</x:v>
      </x:c>
      <x:c r="E7" s="13" t="n">
        <x:f>B7/$D$9</x:f>
        <x:v>0.18461538461538463</x:v>
      </x:c>
      <x:c r="F7" s="13" t="n">
        <x:f>C7/$D$9</x:f>
        <x:v>0.2153846153846154</x:v>
      </x:c>
      <x:c r="G7" s="13" t="n">
        <x:f>D7/$D$9</x:f>
        <x:v>0.23846153846153847</x:v>
      </x:c>
      <x:c r="H7" s="13" t="n">
        <x:f>MAX(E16,E20,E24,E28)</x:f>
        <x:v>9</x:v>
      </x:c>
      <x:c r="I7" s="13"/>
      <x:c r="J7" s="13"/>
      <x:c r="K7" s="13"/>
      <x:c r="L7" s="13"/>
    </x:row>
    <x:row r="8">
      <x:c r="A8" s="12"/>
      <x:c r="B8" s="13"/>
      <x:c r="C8" s="13"/>
      <x:c r="D8" s="13"/>
      <x:c r="E8" s="13"/>
      <x:c r="F8" s="13"/>
      <x:c r="G8" s="13"/>
      <x:c r="H8" s="13"/>
      <x:c r="I8" s="13"/>
      <x:c r="J8" s="13"/>
      <x:c r="K8" s="13"/>
      <x:c r="L8" s="13"/>
    </x:row>
    <x:row r="9">
      <x:c r="A9" s="12" t="str">
        <x:v>Сумма верхних границ весов</x:v>
      </x:c>
      <x:c r="B9" s="13"/>
      <x:c r="C9" s="13"/>
      <x:c r="D9" s="13" t="n">
        <x:f>SUM(D4:D7)</x:f>
        <x:v>32.5</x:v>
      </x:c>
      <x:c r="E9" s="13"/>
      <x:c r="F9" s="13"/>
      <x:c r="G9" s="13"/>
      <x:c r="H9" s="13"/>
      <x:c r="I9" s="13"/>
      <x:c r="J9" s="13"/>
      <x:c r="K9" s="13"/>
      <x:c r="L9" s="13"/>
    </x:row>
    <x:row r="10">
      <x:c r="A10" s="12"/>
      <x:c r="B10" s="13"/>
      <x:c r="C10" s="13"/>
      <x:c r="D10" s="13"/>
      <x:c r="E10" s="13"/>
      <x:c r="F10" s="13"/>
      <x:c r="G10" s="13"/>
      <x:c r="H10" s="13"/>
      <x:c r="I10" s="13"/>
      <x:c r="J10" s="13"/>
      <x:c r="K10" s="13"/>
      <x:c r="L10" s="13"/>
    </x:row>
    <x:row r="11">
      <x:c r="A11" s="12"/>
      <x:c r="B11" s="13"/>
      <x:c r="C11" s="13"/>
      <x:c r="D11" s="13"/>
      <x:c r="E11" s="13"/>
      <x:c r="F11" s="13"/>
      <x:c r="G11" s="13"/>
      <x:c r="H11" s="13"/>
      <x:c r="I11" s="13"/>
      <x:c r="J11" s="13"/>
      <x:c r="K11" s="13"/>
      <x:c r="L11" s="13"/>
    </x:row>
    <x:row r="12">
      <x:c r="A12" s="11" t="str">
        <x:v>Альтернатива</x:v>
      </x:c>
      <x:c r="B12" s="14" t="str">
        <x:v>Критерий</x:v>
      </x:c>
      <x:c r="C12" s="14" t="str">
        <x:v>l средн.</x:v>
      </x:c>
      <x:c r="D12" s="14" t="str">
        <x:v>m средн.</x:v>
      </x:c>
      <x:c r="E12" s="14" t="str">
        <x:v>u средн.</x:v>
      </x:c>
      <x:c r="F12" s="14" t="str">
        <x:v>Uj</x:v>
      </x:c>
      <x:c r="G12" s="14" t="str">
        <x:v>r l</x:v>
      </x:c>
      <x:c r="H12" s="14" t="str">
        <x:v>r m</x:v>
      </x:c>
      <x:c r="I12" s="14" t="str">
        <x:v>r u</x:v>
      </x:c>
      <x:c r="J12" s="14" t="str">
        <x:v>v l</x:v>
      </x:c>
      <x:c r="K12" s="14" t="str">
        <x:v>v m</x:v>
      </x:c>
      <x:c r="L12" s="14" t="str">
        <x:v>v u</x:v>
      </x:c>
    </x:row>
    <x:row r="13">
      <x:c r="A13" s="12" t="str">
        <x:v>A1</x:v>
      </x:c>
      <x:c r="B13" s="13" t="str">
        <x:v>C1 Полезность</x:v>
      </x:c>
      <x:c r="C13" s="13" t="n">
        <x:f>AVERAGE('Оценки'!D22,'Оценки'!G22,'Оценки'!J22,'Оценки'!M22)</x:f>
        <x:v>5.75</x:v>
      </x:c>
      <x:c r="D13" s="13" t="n">
        <x:f>AVERAGE('Оценки'!E22,'Оценки'!H22,'Оценки'!K22,'Оценки'!N22)</x:f>
        <x:v>6.75</x:v>
      </x:c>
      <x:c r="E13" s="13" t="n">
        <x:f>AVERAGE('Оценки'!F22,'Оценки'!I22,'Оценки'!L22,'Оценки'!O22)</x:f>
        <x:v>7.75</x:v>
      </x:c>
      <x:c r="F13" s="13" t="n">
        <x:f>$H$4</x:f>
        <x:v>9</x:v>
      </x:c>
      <x:c r="G13" s="13" t="n">
        <x:f>C13/F13</x:f>
        <x:v>0.6388888888888888</x:v>
      </x:c>
      <x:c r="H13" s="13" t="n">
        <x:f>D13/F13</x:f>
        <x:v>0.75</x:v>
      </x:c>
      <x:c r="I13" s="13" t="n">
        <x:f>E13/F13</x:f>
        <x:v>0.8611111111111112</x:v>
      </x:c>
      <x:c r="J13" s="13" t="n">
        <x:f>G13*$E$4</x:f>
        <x:v>0.13760683760683762</x:v>
      </x:c>
      <x:c r="K13" s="13" t="n">
        <x:f>H13*$F$4</x:f>
        <x:v>0.18461538461538463</x:v>
      </x:c>
      <x:c r="L13" s="13" t="n">
        <x:f>I13*$G$4</x:f>
        <x:v>0.23183760683760685</x:v>
      </x:c>
    </x:row>
    <x:row r="14">
      <x:c r="A14" s="12" t="str">
        <x:v>A1</x:v>
      </x:c>
      <x:c r="B14" s="13" t="str">
        <x:v>C2 Реализуемость</x:v>
      </x:c>
      <x:c r="C14" s="13" t="n">
        <x:f>AVERAGE('Оценки'!D26,'Оценки'!G26,'Оценки'!J26,'Оценки'!M26)</x:f>
        <x:v>4.5</x:v>
      </x:c>
      <x:c r="D14" s="13" t="n">
        <x:f>AVERAGE('Оценки'!E26,'Оценки'!H26,'Оценки'!K26,'Оценки'!N26)</x:f>
        <x:v>5.5</x:v>
      </x:c>
      <x:c r="E14" s="13" t="n">
        <x:f>AVERAGE('Оценки'!F26,'Оценки'!I26,'Оценки'!L26,'Оценки'!O26)</x:f>
        <x:v>6.5</x:v>
      </x:c>
      <x:c r="F14" s="13" t="n">
        <x:f>$H$5</x:f>
        <x:v>9</x:v>
      </x:c>
      <x:c r="G14" s="13" t="n">
        <x:f>C14/F14</x:f>
        <x:v>0.5</x:v>
      </x:c>
      <x:c r="H14" s="13" t="n">
        <x:f>D14/F14</x:f>
        <x:v>0.6111111111111112</x:v>
      </x:c>
      <x:c r="I14" s="13" t="n">
        <x:f>E14/F14</x:f>
        <x:v>0.7222222222222222</x:v>
      </x:c>
      <x:c r="J14" s="13" t="n">
        <x:f>G14*$E$5</x:f>
        <x:v>0.10384615384615385</x:v>
      </x:c>
      <x:c r="K14" s="13" t="n">
        <x:f>H14*$F$5</x:f>
        <x:v>0.14572649572649574</x:v>
      </x:c>
      <x:c r="L14" s="13" t="n">
        <x:f>I14*$G$5</x:f>
        <x:v>0.18888888888888888</x:v>
      </x:c>
    </x:row>
    <x:row r="15">
      <x:c r="A15" s="12" t="str">
        <x:v>A1</x:v>
      </x:c>
      <x:c r="B15" s="13" t="str">
        <x:v>C3 Ясность сценариев</x:v>
      </x:c>
      <x:c r="C15" s="13" t="n">
        <x:f>AVERAGE('Оценки'!D30,'Оценки'!G30,'Оценки'!J30,'Оценки'!M30)</x:f>
        <x:v>7.25</x:v>
      </x:c>
      <x:c r="D15" s="13" t="n">
        <x:f>AVERAGE('Оценки'!E30,'Оценки'!H30,'Оценки'!K30,'Оценки'!N30)</x:f>
        <x:v>8.25</x:v>
      </x:c>
      <x:c r="E15" s="13" t="n">
        <x:f>AVERAGE('Оценки'!F30,'Оценки'!I30,'Оценки'!L30,'Оценки'!O30)</x:f>
        <x:v>9</x:v>
      </x:c>
      <x:c r="F15" s="13" t="n">
        <x:f>$H$6</x:f>
        <x:v>9</x:v>
      </x:c>
      <x:c r="G15" s="13" t="n">
        <x:f>C15/F15</x:f>
        <x:v>0.8055555555555556</x:v>
      </x:c>
      <x:c r="H15" s="13" t="n">
        <x:f>D15/F15</x:f>
        <x:v>0.9166666666666666</x:v>
      </x:c>
      <x:c r="I15" s="13" t="n">
        <x:f>E15/F15</x:f>
        <x:v>1</x:v>
      </x:c>
      <x:c r="J15" s="13" t="n">
        <x:f>G15*$E$6</x:f>
        <x:v>0.13632478632478634</x:v>
      </x:c>
      <x:c r="K15" s="13" t="n">
        <x:f>H15*$F$6</x:f>
        <x:v>0.18333333333333335</x:v>
      </x:c>
      <x:c r="L15" s="13" t="n">
        <x:f>I15*$G$6</x:f>
        <x:v>0.23076923076923078</x:v>
      </x:c>
    </x:row>
    <x:row r="16">
      <x:c r="A16" s="12" t="str">
        <x:v>A1</x:v>
      </x:c>
      <x:c r="B16" s="13" t="str">
        <x:v>C4 Пригодность для планирования</x:v>
      </x:c>
      <x:c r="C16" s="13" t="n">
        <x:f>AVERAGE('Оценки'!D34,'Оценки'!G34,'Оценки'!J34,'Оценки'!M34)</x:f>
        <x:v>6</x:v>
      </x:c>
      <x:c r="D16" s="13" t="n">
        <x:f>AVERAGE('Оценки'!E34,'Оценки'!H34,'Оценки'!K34,'Оценки'!N34)</x:f>
        <x:v>7</x:v>
      </x:c>
      <x:c r="E16" s="13" t="n">
        <x:f>AVERAGE('Оценки'!F34,'Оценки'!I34,'Оценки'!L34,'Оценки'!O34)</x:f>
        <x:v>8</x:v>
      </x:c>
      <x:c r="F16" s="13" t="n">
        <x:f>$H$7</x:f>
        <x:v>9</x:v>
      </x:c>
      <x:c r="G16" s="13" t="n">
        <x:f>C16/F16</x:f>
        <x:v>0.6666666666666666</x:v>
      </x:c>
      <x:c r="H16" s="13" t="n">
        <x:f>D16/F16</x:f>
        <x:v>0.7777777777777778</x:v>
      </x:c>
      <x:c r="I16" s="13" t="n">
        <x:f>E16/F16</x:f>
        <x:v>0.8888888888888888</x:v>
      </x:c>
      <x:c r="J16" s="13" t="n">
        <x:f>G16*$E$7</x:f>
        <x:v>0.12307692307692308</x:v>
      </x:c>
      <x:c r="K16" s="13" t="n">
        <x:f>H16*$F$7</x:f>
        <x:v>0.16752136752136754</x:v>
      </x:c>
      <x:c r="L16" s="13" t="n">
        <x:f>I16*$G$7</x:f>
        <x:v>0.21196581196581196</x:v>
      </x:c>
    </x:row>
    <x:row r="17">
      <x:c r="A17" s="12" t="str">
        <x:v>A2</x:v>
      </x:c>
      <x:c r="B17" s="13" t="str">
        <x:v>C1 Полезность</x:v>
      </x:c>
      <x:c r="C17" s="13" t="n">
        <x:f>AVERAGE('Оценки'!D23,'Оценки'!G23,'Оценки'!J23,'Оценки'!M23)</x:f>
        <x:v>6.25</x:v>
      </x:c>
      <x:c r="D17" s="13" t="n">
        <x:f>AVERAGE('Оценки'!E23,'Оценки'!H23,'Оценки'!K23,'Оценки'!N23)</x:f>
        <x:v>7.25</x:v>
      </x:c>
      <x:c r="E17" s="13" t="n">
        <x:f>AVERAGE('Оценки'!F23,'Оценки'!I23,'Оценки'!L23,'Оценки'!O23)</x:f>
        <x:v>8.25</x:v>
      </x:c>
      <x:c r="F17" s="13" t="n">
        <x:f>$H$4</x:f>
        <x:v>9</x:v>
      </x:c>
      <x:c r="G17" s="13" t="n">
        <x:f>C17/F17</x:f>
        <x:v>0.6944444444444444</x:v>
      </x:c>
      <x:c r="H17" s="13" t="n">
        <x:f>D17/F17</x:f>
        <x:v>0.8055555555555556</x:v>
      </x:c>
      <x:c r="I17" s="13" t="n">
        <x:f>E17/F17</x:f>
        <x:v>0.9166666666666666</x:v>
      </x:c>
      <x:c r="J17" s="13" t="n">
        <x:f>G17*$E$4</x:f>
        <x:v>0.14957264957264957</x:v>
      </x:c>
      <x:c r="K17" s="13" t="n">
        <x:f>H17*$F$4</x:f>
        <x:v>0.1982905982905983</x:v>
      </x:c>
      <x:c r="L17" s="13" t="n">
        <x:f>I17*$G$4</x:f>
        <x:v>0.24679487179487178</x:v>
      </x:c>
    </x:row>
    <x:row r="18">
      <x:c r="A18" s="12" t="str">
        <x:v>A2</x:v>
      </x:c>
      <x:c r="B18" s="13" t="str">
        <x:v>C2 Реализуемость</x:v>
      </x:c>
      <x:c r="C18" s="13" t="n">
        <x:f>AVERAGE('Оценки'!D27,'Оценки'!G27,'Оценки'!J27,'Оценки'!M27)</x:f>
        <x:v>7.25</x:v>
      </x:c>
      <x:c r="D18" s="13" t="n">
        <x:f>AVERAGE('Оценки'!E27,'Оценки'!H27,'Оценки'!K27,'Оценки'!N27)</x:f>
        <x:v>8.25</x:v>
      </x:c>
      <x:c r="E18" s="13" t="n">
        <x:f>AVERAGE('Оценки'!F27,'Оценки'!I27,'Оценки'!L27,'Оценки'!O27)</x:f>
        <x:v>9</x:v>
      </x:c>
      <x:c r="F18" s="13" t="n">
        <x:f>$H$5</x:f>
        <x:v>9</x:v>
      </x:c>
      <x:c r="G18" s="13" t="n">
        <x:f>C18/F18</x:f>
        <x:v>0.8055555555555556</x:v>
      </x:c>
      <x:c r="H18" s="13" t="n">
        <x:f>D18/F18</x:f>
        <x:v>0.9166666666666666</x:v>
      </x:c>
      <x:c r="I18" s="13" t="n">
        <x:f>E18/F18</x:f>
        <x:v>1</x:v>
      </x:c>
      <x:c r="J18" s="13" t="n">
        <x:f>G18*$E$5</x:f>
        <x:v>0.16730769230769232</x:v>
      </x:c>
      <x:c r="K18" s="13" t="n">
        <x:f>H18*$F$5</x:f>
        <x:v>0.2185897435897436</x:v>
      </x:c>
      <x:c r="L18" s="13" t="n">
        <x:f>I18*$G$5</x:f>
        <x:v>0.26153846153846155</x:v>
      </x:c>
    </x:row>
    <x:row r="19">
      <x:c r="A19" s="12" t="str">
        <x:v>A2</x:v>
      </x:c>
      <x:c r="B19" s="13" t="str">
        <x:v>C3 Ясность сценариев</x:v>
      </x:c>
      <x:c r="C19" s="13" t="n">
        <x:f>AVERAGE('Оценки'!D31,'Оценки'!G31,'Оценки'!J31,'Оценки'!M31)</x:f>
        <x:v>5.25</x:v>
      </x:c>
      <x:c r="D19" s="13" t="n">
        <x:f>AVERAGE('Оценки'!E31,'Оценки'!H31,'Оценки'!K31,'Оценки'!N31)</x:f>
        <x:v>6.25</x:v>
      </x:c>
      <x:c r="E19" s="13" t="n">
        <x:f>AVERAGE('Оценки'!F31,'Оценки'!I31,'Оценки'!L31,'Оценки'!O31)</x:f>
        <x:v>7.25</x:v>
      </x:c>
      <x:c r="F19" s="13" t="n">
        <x:f>$H$6</x:f>
        <x:v>9</x:v>
      </x:c>
      <x:c r="G19" s="13" t="n">
        <x:f>C19/F19</x:f>
        <x:v>0.5833333333333334</x:v>
      </x:c>
      <x:c r="H19" s="13" t="n">
        <x:f>D19/F19</x:f>
        <x:v>0.6944444444444444</x:v>
      </x:c>
      <x:c r="I19" s="13" t="n">
        <x:f>E19/F19</x:f>
        <x:v>0.8055555555555556</x:v>
      </x:c>
      <x:c r="J19" s="13" t="n">
        <x:f>G19*$E$6</x:f>
        <x:v>0.09871794871794873</x:v>
      </x:c>
      <x:c r="K19" s="13" t="n">
        <x:f>H19*$F$6</x:f>
        <x:v>0.1388888888888889</x:v>
      </x:c>
      <x:c r="L19" s="13" t="n">
        <x:f>I19*$G$6</x:f>
        <x:v>0.1858974358974359</x:v>
      </x:c>
    </x:row>
    <x:row r="20">
      <x:c r="A20" s="12" t="str">
        <x:v>A2</x:v>
      </x:c>
      <x:c r="B20" s="13" t="str">
        <x:v>C4 Пригодность для планирования</x:v>
      </x:c>
      <x:c r="C20" s="13" t="n">
        <x:f>AVERAGE('Оценки'!D35,'Оценки'!G35,'Оценки'!J35,'Оценки'!M35)</x:f>
        <x:v>5</x:v>
      </x:c>
      <x:c r="D20" s="13" t="n">
        <x:f>AVERAGE('Оценки'!E35,'Оценки'!H35,'Оценки'!K35,'Оценки'!N35)</x:f>
        <x:v>6</x:v>
      </x:c>
      <x:c r="E20" s="13" t="n">
        <x:f>AVERAGE('Оценки'!F35,'Оценки'!I35,'Оценки'!L35,'Оценки'!O35)</x:f>
        <x:v>7</x:v>
      </x:c>
      <x:c r="F20" s="13" t="n">
        <x:f>$H$7</x:f>
        <x:v>9</x:v>
      </x:c>
      <x:c r="G20" s="13" t="n">
        <x:f>C20/F20</x:f>
        <x:v>0.5555555555555556</x:v>
      </x:c>
      <x:c r="H20" s="13" t="n">
        <x:f>D20/F20</x:f>
        <x:v>0.6666666666666666</x:v>
      </x:c>
      <x:c r="I20" s="13" t="n">
        <x:f>E20/F20</x:f>
        <x:v>0.7777777777777778</x:v>
      </x:c>
      <x:c r="J20" s="13" t="n">
        <x:f>G20*$E$7</x:f>
        <x:v>0.10256410256410257</x:v>
      </x:c>
      <x:c r="K20" s="13" t="n">
        <x:f>H20*$F$7</x:f>
        <x:v>0.14358974358974358</x:v>
      </x:c>
      <x:c r="L20" s="13" t="n">
        <x:f>I20*$G$7</x:f>
        <x:v>0.18547008547008548</x:v>
      </x:c>
    </x:row>
    <x:row r="21">
      <x:c r="A21" s="12" t="str">
        <x:v>A3</x:v>
      </x:c>
      <x:c r="B21" s="13" t="str">
        <x:v>C1 Полезность</x:v>
      </x:c>
      <x:c r="C21" s="13" t="n">
        <x:f>AVERAGE('Оценки'!D24,'Оценки'!G24,'Оценки'!J24,'Оценки'!M24)</x:f>
        <x:v>7.25</x:v>
      </x:c>
      <x:c r="D21" s="13" t="n">
        <x:f>AVERAGE('Оценки'!E24,'Оценки'!H24,'Оценки'!K24,'Оценки'!N24)</x:f>
        <x:v>8.25</x:v>
      </x:c>
      <x:c r="E21" s="13" t="n">
        <x:f>AVERAGE('Оценки'!F24,'Оценки'!I24,'Оценки'!L24,'Оценки'!O24)</x:f>
        <x:v>9</x:v>
      </x:c>
      <x:c r="F21" s="13" t="n">
        <x:f>$H$4</x:f>
        <x:v>9</x:v>
      </x:c>
      <x:c r="G21" s="13" t="n">
        <x:f>C21/F21</x:f>
        <x:v>0.8055555555555556</x:v>
      </x:c>
      <x:c r="H21" s="13" t="n">
        <x:f>D21/F21</x:f>
        <x:v>0.9166666666666666</x:v>
      </x:c>
      <x:c r="I21" s="13" t="n">
        <x:f>E21/F21</x:f>
        <x:v>1</x:v>
      </x:c>
      <x:c r="J21" s="13" t="n">
        <x:f>G21*$E$4</x:f>
        <x:v>0.17350427350427353</x:v>
      </x:c>
      <x:c r="K21" s="13" t="n">
        <x:f>H21*$F$4</x:f>
        <x:v>0.22564102564102564</x:v>
      </x:c>
      <x:c r="L21" s="13" t="n">
        <x:f>I21*$G$4</x:f>
        <x:v>0.2692307692307692</x:v>
      </x:c>
    </x:row>
    <x:row r="22">
      <x:c r="A22" s="12" t="str">
        <x:v>A3</x:v>
      </x:c>
      <x:c r="B22" s="13" t="str">
        <x:v>C2 Реализуемость</x:v>
      </x:c>
      <x:c r="C22" s="13" t="n">
        <x:f>AVERAGE('Оценки'!D28,'Оценки'!G28,'Оценки'!J28,'Оценки'!M28)</x:f>
        <x:v>6.25</x:v>
      </x:c>
      <x:c r="D22" s="13" t="n">
        <x:f>AVERAGE('Оценки'!E28,'Оценки'!H28,'Оценки'!K28,'Оценки'!N28)</x:f>
        <x:v>7.25</x:v>
      </x:c>
      <x:c r="E22" s="13" t="n">
        <x:f>AVERAGE('Оценки'!F28,'Оценки'!I28,'Оценки'!L28,'Оценки'!O28)</x:f>
        <x:v>8.25</x:v>
      </x:c>
      <x:c r="F22" s="13" t="n">
        <x:f>$H$5</x:f>
        <x:v>9</x:v>
      </x:c>
      <x:c r="G22" s="13" t="n">
        <x:f>C22/F22</x:f>
        <x:v>0.6944444444444444</x:v>
      </x:c>
      <x:c r="H22" s="13" t="n">
        <x:f>D22/F22</x:f>
        <x:v>0.8055555555555556</x:v>
      </x:c>
      <x:c r="I22" s="13" t="n">
        <x:f>E22/F22</x:f>
        <x:v>0.9166666666666666</x:v>
      </x:c>
      <x:c r="J22" s="13" t="n">
        <x:f>G22*$E$5</x:f>
        <x:v>0.14423076923076925</x:v>
      </x:c>
      <x:c r="K22" s="13" t="n">
        <x:f>H22*$F$5</x:f>
        <x:v>0.1920940170940171</x:v>
      </x:c>
      <x:c r="L22" s="13" t="n">
        <x:f>I22*$G$5</x:f>
        <x:v>0.23974358974358975</x:v>
      </x:c>
    </x:row>
    <x:row r="23">
      <x:c r="A23" s="12" t="str">
        <x:v>A3</x:v>
      </x:c>
      <x:c r="B23" s="13" t="str">
        <x:v>C3 Ясность сценариев</x:v>
      </x:c>
      <x:c r="C23" s="13" t="n">
        <x:f>AVERAGE('Оценки'!D32,'Оценки'!G32,'Оценки'!J32,'Оценки'!M32)</x:f>
        <x:v>7.25</x:v>
      </x:c>
      <x:c r="D23" s="13" t="n">
        <x:f>AVERAGE('Оценки'!E32,'Оценки'!H32,'Оценки'!K32,'Оценки'!N32)</x:f>
        <x:v>8.25</x:v>
      </x:c>
      <x:c r="E23" s="13" t="n">
        <x:f>AVERAGE('Оценки'!F32,'Оценки'!I32,'Оценки'!L32,'Оценки'!O32)</x:f>
        <x:v>9</x:v>
      </x:c>
      <x:c r="F23" s="13" t="n">
        <x:f>$H$6</x:f>
        <x:v>9</x:v>
      </x:c>
      <x:c r="G23" s="13" t="n">
        <x:f>C23/F23</x:f>
        <x:v>0.8055555555555556</x:v>
      </x:c>
      <x:c r="H23" s="13" t="n">
        <x:f>D23/F23</x:f>
        <x:v>0.9166666666666666</x:v>
      </x:c>
      <x:c r="I23" s="13" t="n">
        <x:f>E23/F23</x:f>
        <x:v>1</x:v>
      </x:c>
      <x:c r="J23" s="13" t="n">
        <x:f>G23*$E$6</x:f>
        <x:v>0.13632478632478634</x:v>
      </x:c>
      <x:c r="K23" s="13" t="n">
        <x:f>H23*$F$6</x:f>
        <x:v>0.18333333333333335</x:v>
      </x:c>
      <x:c r="L23" s="13" t="n">
        <x:f>I23*$G$6</x:f>
        <x:v>0.23076923076923078</x:v>
      </x:c>
    </x:row>
    <x:row r="24">
      <x:c r="A24" s="12" t="str">
        <x:v>A3</x:v>
      </x:c>
      <x:c r="B24" s="13" t="str">
        <x:v>C4 Пригодность для планирования</x:v>
      </x:c>
      <x:c r="C24" s="13" t="n">
        <x:f>AVERAGE('Оценки'!D36,'Оценки'!G36,'Оценки'!J36,'Оценки'!M36)</x:f>
        <x:v>7</x:v>
      </x:c>
      <x:c r="D24" s="13" t="n">
        <x:f>AVERAGE('Оценки'!E36,'Оценки'!H36,'Оценки'!K36,'Оценки'!N36)</x:f>
        <x:v>8</x:v>
      </x:c>
      <x:c r="E24" s="13" t="n">
        <x:f>AVERAGE('Оценки'!F36,'Оценки'!I36,'Оценки'!L36,'Оценки'!O36)</x:f>
        <x:v>9</x:v>
      </x:c>
      <x:c r="F24" s="13" t="n">
        <x:f>$H$7</x:f>
        <x:v>9</x:v>
      </x:c>
      <x:c r="G24" s="13" t="n">
        <x:f>C24/F24</x:f>
        <x:v>0.7777777777777778</x:v>
      </x:c>
      <x:c r="H24" s="13" t="n">
        <x:f>D24/F24</x:f>
        <x:v>0.8888888888888888</x:v>
      </x:c>
      <x:c r="I24" s="13" t="n">
        <x:f>E24/F24</x:f>
        <x:v>1</x:v>
      </x:c>
      <x:c r="J24" s="13" t="n">
        <x:f>G24*$E$7</x:f>
        <x:v>0.1435897435897436</x:v>
      </x:c>
      <x:c r="K24" s="13" t="n">
        <x:f>H24*$F$7</x:f>
        <x:v>0.19145299145299147</x:v>
      </x:c>
      <x:c r="L24" s="13" t="n">
        <x:f>I24*$G$7</x:f>
        <x:v>0.23846153846153847</x:v>
      </x:c>
    </x:row>
    <x:row r="25">
      <x:c r="A25" s="12" t="str">
        <x:v>A4</x:v>
      </x:c>
      <x:c r="B25" s="13" t="str">
        <x:v>C1 Полезность</x:v>
      </x:c>
      <x:c r="C25" s="13" t="n">
        <x:f>AVERAGE('Оценки'!D25,'Оценки'!G25,'Оценки'!J25,'Оценки'!M25)</x:f>
        <x:v>6.75</x:v>
      </x:c>
      <x:c r="D25" s="13" t="n">
        <x:f>AVERAGE('Оценки'!E25,'Оценки'!H25,'Оценки'!K25,'Оценки'!N25)</x:f>
        <x:v>7.75</x:v>
      </x:c>
      <x:c r="E25" s="13" t="n">
        <x:f>AVERAGE('Оценки'!F25,'Оценки'!I25,'Оценки'!L25,'Оценки'!O25)</x:f>
        <x:v>8.75</x:v>
      </x:c>
      <x:c r="F25" s="13" t="n">
        <x:f>$H$4</x:f>
        <x:v>9</x:v>
      </x:c>
      <x:c r="G25" s="13" t="n">
        <x:f>C25/F25</x:f>
        <x:v>0.75</x:v>
      </x:c>
      <x:c r="H25" s="13" t="n">
        <x:f>D25/F25</x:f>
        <x:v>0.8611111111111112</x:v>
      </x:c>
      <x:c r="I25" s="13" t="n">
        <x:f>E25/F25</x:f>
        <x:v>0.9722222222222222</x:v>
      </x:c>
      <x:c r="J25" s="13" t="n">
        <x:f>G25*$E$4</x:f>
        <x:v>0.16153846153846155</x:v>
      </x:c>
      <x:c r="K25" s="13" t="n">
        <x:f>H25*$F$4</x:f>
        <x:v>0.211965811965812</x:v>
      </x:c>
      <x:c r="L25" s="13" t="n">
        <x:f>I25*$G$4</x:f>
        <x:v>0.2617521367521367</x:v>
      </x:c>
    </x:row>
    <x:row r="26">
      <x:c r="A26" s="12" t="str">
        <x:v>A4</x:v>
      </x:c>
      <x:c r="B26" s="13" t="str">
        <x:v>C2 Реализуемость</x:v>
      </x:c>
      <x:c r="C26" s="13" t="n">
        <x:f>AVERAGE('Оценки'!D29,'Оценки'!G29,'Оценки'!J29,'Оценки'!M29)</x:f>
        <x:v>5</x:v>
      </x:c>
      <x:c r="D26" s="13" t="n">
        <x:f>AVERAGE('Оценки'!E29,'Оценки'!H29,'Оценки'!K29,'Оценки'!N29)</x:f>
        <x:v>6</x:v>
      </x:c>
      <x:c r="E26" s="13" t="n">
        <x:f>AVERAGE('Оценки'!F29,'Оценки'!I29,'Оценки'!L29,'Оценки'!O29)</x:f>
        <x:v>7</x:v>
      </x:c>
      <x:c r="F26" s="13" t="n">
        <x:f>$H$5</x:f>
        <x:v>9</x:v>
      </x:c>
      <x:c r="G26" s="13" t="n">
        <x:f>C26/F26</x:f>
        <x:v>0.5555555555555556</x:v>
      </x:c>
      <x:c r="H26" s="13" t="n">
        <x:f>D26/F26</x:f>
        <x:v>0.6666666666666666</x:v>
      </x:c>
      <x:c r="I26" s="13" t="n">
        <x:f>E26/F26</x:f>
        <x:v>0.7777777777777778</x:v>
      </x:c>
      <x:c r="J26" s="13" t="n">
        <x:f>G26*$E$5</x:f>
        <x:v>0.11538461538461539</x:v>
      </x:c>
      <x:c r="K26" s="13" t="n">
        <x:f>H26*$F$5</x:f>
        <x:v>0.15897435897435896</x:v>
      </x:c>
      <x:c r="L26" s="13" t="n">
        <x:f>I26*$G$5</x:f>
        <x:v>0.20341880341880345</x:v>
      </x:c>
    </x:row>
    <x:row r="27">
      <x:c r="A27" s="12" t="str">
        <x:v>A4</x:v>
      </x:c>
      <x:c r="B27" s="13" t="str">
        <x:v>C3 Ясность сценариев</x:v>
      </x:c>
      <x:c r="C27" s="13" t="n">
        <x:f>AVERAGE('Оценки'!D33,'Оценки'!G33,'Оценки'!J33,'Оценки'!M33)</x:f>
        <x:v>6.25</x:v>
      </x:c>
      <x:c r="D27" s="13" t="n">
        <x:f>AVERAGE('Оценки'!E33,'Оценки'!H33,'Оценки'!K33,'Оценки'!N33)</x:f>
        <x:v>7.25</x:v>
      </x:c>
      <x:c r="E27" s="13" t="n">
        <x:f>AVERAGE('Оценки'!F33,'Оценки'!I33,'Оценки'!L33,'Оценки'!O33)</x:f>
        <x:v>8.25</x:v>
      </x:c>
      <x:c r="F27" s="13" t="n">
        <x:f>$H$6</x:f>
        <x:v>9</x:v>
      </x:c>
      <x:c r="G27" s="13" t="n">
        <x:f>C27/F27</x:f>
        <x:v>0.6944444444444444</x:v>
      </x:c>
      <x:c r="H27" s="13" t="n">
        <x:f>D27/F27</x:f>
        <x:v>0.8055555555555556</x:v>
      </x:c>
      <x:c r="I27" s="13" t="n">
        <x:f>E27/F27</x:f>
        <x:v>0.9166666666666666</x:v>
      </x:c>
      <x:c r="J27" s="13" t="n">
        <x:f>G27*$E$6</x:f>
        <x:v>0.11752136752136752</x:v>
      </x:c>
      <x:c r="K27" s="13" t="n">
        <x:f>H27*$F$6</x:f>
        <x:v>0.16111111111111112</x:v>
      </x:c>
      <x:c r="L27" s="13" t="n">
        <x:f>I27*$G$6</x:f>
        <x:v>0.21153846153846154</x:v>
      </x:c>
    </x:row>
    <x:row r="28">
      <x:c r="A28" s="12" t="str">
        <x:v>A4</x:v>
      </x:c>
      <x:c r="B28" s="13" t="str">
        <x:v>C4 Пригодность для планирования</x:v>
      </x:c>
      <x:c r="C28" s="13" t="n">
        <x:f>AVERAGE('Оценки'!D37,'Оценки'!G37,'Оценки'!J37,'Оценки'!M37)</x:f>
        <x:v>7.75</x:v>
      </x:c>
      <x:c r="D28" s="13" t="n">
        <x:f>AVERAGE('Оценки'!E37,'Оценки'!H37,'Оценки'!K37,'Оценки'!N37)</x:f>
        <x:v>8.75</x:v>
      </x:c>
      <x:c r="E28" s="13" t="n">
        <x:f>AVERAGE('Оценки'!F37,'Оценки'!I37,'Оценки'!L37,'Оценки'!O37)</x:f>
        <x:v>9</x:v>
      </x:c>
      <x:c r="F28" s="13" t="n">
        <x:f>$H$7</x:f>
        <x:v>9</x:v>
      </x:c>
      <x:c r="G28" s="13" t="n">
        <x:f>C28/F28</x:f>
        <x:v>0.8611111111111112</x:v>
      </x:c>
      <x:c r="H28" s="13" t="n">
        <x:f>D28/F28</x:f>
        <x:v>0.9722222222222222</x:v>
      </x:c>
      <x:c r="I28" s="13" t="n">
        <x:f>E28/F28</x:f>
        <x:v>1</x:v>
      </x:c>
      <x:c r="J28" s="13" t="n">
        <x:f>G28*$E$7</x:f>
        <x:v>0.158974358974359</x:v>
      </x:c>
      <x:c r="K28" s="13" t="n">
        <x:f>H28*$F$7</x:f>
        <x:v>0.2094017094017094</x:v>
      </x:c>
      <x:c r="L28" s="13" t="n">
        <x:f>I28*$G$7</x:f>
        <x:v>0.23846153846153847</x:v>
      </x:c>
    </x:row>
    <x:row r="29">
      <x:c r="A29" s="12"/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</x:row>
    <x:row r="30">
      <x:c r="A30" s="12"/>
      <x:c r="B30" s="13"/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</x:row>
    <x:row r="31">
      <x:c r="A31" s="11" t="str">
        <x:v>Критерий</x:v>
      </x:c>
      <x:c r="B31" s="14" t="str">
        <x:v>Идеал + l</x:v>
      </x:c>
      <x:c r="C31" s="14" t="str">
        <x:v>Идеал + m</x:v>
      </x:c>
      <x:c r="D31" s="14" t="str">
        <x:v>Идеал + u</x:v>
      </x:c>
      <x:c r="E31" s="14" t="str">
        <x:v>Идеал − l</x:v>
      </x:c>
      <x:c r="F31" s="14" t="str">
        <x:v>Идеал − m</x:v>
      </x:c>
      <x:c r="G31" s="14" t="str">
        <x:v>Идеал − u</x:v>
      </x:c>
      <x:c r="H31" s="13"/>
      <x:c r="I31" s="13"/>
      <x:c r="J31" s="13"/>
      <x:c r="K31" s="13"/>
      <x:c r="L31" s="13"/>
    </x:row>
    <x:row r="32">
      <x:c r="A32" s="12" t="str">
        <x:v>C1 Полезность</x:v>
      </x:c>
      <x:c r="B32" s="13" t="n">
        <x:f>MAX(J13,J17,J21,J25)</x:f>
        <x:v>0.17350427350427353</x:v>
      </x:c>
      <x:c r="C32" s="13" t="n">
        <x:f>MAX(K13,K17,K21,K25)</x:f>
        <x:v>0.22564102564102564</x:v>
      </x:c>
      <x:c r="D32" s="13" t="n">
        <x:f>MAX(L13,L17,L21,L25)</x:f>
        <x:v>0.2692307692307692</x:v>
      </x:c>
      <x:c r="E32" s="13" t="n">
        <x:f>MIN(J13,J17,J21,J25)</x:f>
        <x:v>0.13760683760683762</x:v>
      </x:c>
      <x:c r="F32" s="13" t="n">
        <x:f>MIN(K13,K17,K21,K25)</x:f>
        <x:v>0.18461538461538463</x:v>
      </x:c>
      <x:c r="G32" s="13" t="n">
        <x:f>MIN(L13,L17,L21,L25)</x:f>
        <x:v>0.23183760683760685</x:v>
      </x:c>
      <x:c r="H32" s="13"/>
      <x:c r="I32" s="13"/>
      <x:c r="J32" s="13"/>
      <x:c r="K32" s="13"/>
      <x:c r="L32" s="13"/>
    </x:row>
    <x:row r="33">
      <x:c r="A33" s="12" t="str">
        <x:v>C2 Реализуемость</x:v>
      </x:c>
      <x:c r="B33" s="13" t="n">
        <x:f>MAX(J14,J18,J22,J26)</x:f>
        <x:v>0.16730769230769232</x:v>
      </x:c>
      <x:c r="C33" s="13" t="n">
        <x:f>MAX(K14,K18,K22,K26)</x:f>
        <x:v>0.2185897435897436</x:v>
      </x:c>
      <x:c r="D33" s="13" t="n">
        <x:f>MAX(L14,L18,L22,L26)</x:f>
        <x:v>0.26153846153846155</x:v>
      </x:c>
      <x:c r="E33" s="13" t="n">
        <x:f>MIN(J14,J18,J22,J26)</x:f>
        <x:v>0.10384615384615385</x:v>
      </x:c>
      <x:c r="F33" s="13" t="n">
        <x:f>MIN(K14,K18,K22,K26)</x:f>
        <x:v>0.14572649572649574</x:v>
      </x:c>
      <x:c r="G33" s="13" t="n">
        <x:f>MIN(L14,L18,L22,L26)</x:f>
        <x:v>0.18888888888888888</x:v>
      </x:c>
      <x:c r="H33" s="13"/>
      <x:c r="I33" s="13"/>
      <x:c r="J33" s="13"/>
      <x:c r="K33" s="13"/>
      <x:c r="L33" s="13"/>
    </x:row>
    <x:row r="34">
      <x:c r="A34" s="12" t="str">
        <x:v>C3 Ясность сценариев</x:v>
      </x:c>
      <x:c r="B34" s="13" t="n">
        <x:f>MAX(J15,J19,J23,J27)</x:f>
        <x:v>0.13632478632478634</x:v>
      </x:c>
      <x:c r="C34" s="13" t="n">
        <x:f>MAX(K15,K19,K23,K27)</x:f>
        <x:v>0.18333333333333335</x:v>
      </x:c>
      <x:c r="D34" s="13" t="n">
        <x:f>MAX(L15,L19,L23,L27)</x:f>
        <x:v>0.23076923076923078</x:v>
      </x:c>
      <x:c r="E34" s="13" t="n">
        <x:f>MIN(J15,J19,J23,J27)</x:f>
        <x:v>0.09871794871794873</x:v>
      </x:c>
      <x:c r="F34" s="13" t="n">
        <x:f>MIN(K15,K19,K23,K27)</x:f>
        <x:v>0.1388888888888889</x:v>
      </x:c>
      <x:c r="G34" s="13" t="n">
        <x:f>MIN(L15,L19,L23,L27)</x:f>
        <x:v>0.1858974358974359</x:v>
      </x:c>
      <x:c r="H34" s="13"/>
      <x:c r="I34" s="13"/>
      <x:c r="J34" s="13"/>
      <x:c r="K34" s="13"/>
      <x:c r="L34" s="13"/>
    </x:row>
    <x:row r="35">
      <x:c r="A35" s="12" t="str">
        <x:v>C4 Пригодность для планирования</x:v>
      </x:c>
      <x:c r="B35" s="13" t="n">
        <x:f>MAX(J16,J20,J24,J28)</x:f>
        <x:v>0.158974358974359</x:v>
      </x:c>
      <x:c r="C35" s="13" t="n">
        <x:f>MAX(K16,K20,K24,K28)</x:f>
        <x:v>0.2094017094017094</x:v>
      </x:c>
      <x:c r="D35" s="13" t="n">
        <x:f>MAX(L16,L20,L24,L28)</x:f>
        <x:v>0.23846153846153847</x:v>
      </x:c>
      <x:c r="E35" s="13" t="n">
        <x:f>MIN(J16,J20,J24,J28)</x:f>
        <x:v>0.10256410256410257</x:v>
      </x:c>
      <x:c r="F35" s="13" t="n">
        <x:f>MIN(K16,K20,K24,K28)</x:f>
        <x:v>0.14358974358974358</x:v>
      </x:c>
      <x:c r="G35" s="13" t="n">
        <x:f>MIN(L16,L20,L24,L28)</x:f>
        <x:v>0.18547008547008548</x:v>
      </x:c>
      <x:c r="H35" s="13"/>
      <x:c r="I35" s="13"/>
      <x:c r="J35" s="13"/>
      <x:c r="K35" s="13"/>
      <x:c r="L35" s="13"/>
    </x:row>
    <x:row r="36">
      <x:c r="A36" s="12"/>
      <x:c r="B36" s="13"/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</x:row>
    <x:row r="37">
      <x:c r="A37" s="11" t="str">
        <x:v>Альтернатива</x:v>
      </x:c>
      <x:c r="B37" s="14" t="str">
        <x:v>D+</x:v>
      </x:c>
      <x:c r="C37" s="14" t="str">
        <x:v>D−</x:v>
      </x:c>
      <x:c r="D37" s="14" t="str">
        <x:v>CC</x:v>
      </x:c>
      <x:c r="E37" s="14" t="str">
        <x:v>Место</x:v>
      </x:c>
      <x:c r="F37" s="13"/>
      <x:c r="G37" s="13"/>
      <x:c r="H37" s="13"/>
      <x:c r="I37" s="13"/>
      <x:c r="J37" s="13"/>
      <x:c r="K37" s="13"/>
      <x:c r="L37" s="13"/>
    </x:row>
    <x:row r="38">
      <x:c r="A38" s="12" t="str">
        <x:v>A1</x:v>
      </x:c>
      <x:c r="B38" s="13" t="n">
        <x:f>SQRT(((J13-B32)^2+(K13-C32)^2+(L13-D32)^2)/3)+SQRT(((J14-B33)^2+(K14-C33)^2+(L14-D33)^2)/3)+SQRT(((J15-B34)^2+(K15-C34)^2+(L15-D34)^2)/3)+SQRT(((J16-B35)^2+(K16-C35)^2+(L16-D35)^2)/3)</x:f>
        <x:v>0.14329198383208566</x:v>
      </x:c>
      <x:c r="C38" s="13" t="n">
        <x:f>SQRT(((J13-E32)^2+(K13-F32)^2+(L13-G32)^2)/3)+SQRT(((J14-E33)^2+(K14-F33)^2+(L14-G33)^2)/3)+SQRT(((J15-E34)^2+(K15-F34)^2+(L15-G34)^2)/3)+SQRT(((J16-E35)^2+(K16-F35)^2+(L16-G35)^2)/3)</x:f>
        <x:v>0.06621181747594068</x:v>
      </x:c>
      <x:c r="D38" s="13" t="n">
        <x:f>C38/(B38+C38)</x:f>
        <x:v>0.3160411269988924</x:v>
      </x:c>
      <x:c r="E38" s="15" t="n">
        <x:f>RANK(D38,$D$38:$D$41,0)</x:f>
        <x:v>4</x:v>
      </x:c>
      <x:c r="F38" s="13"/>
      <x:c r="G38" s="13"/>
      <x:c r="H38" s="13"/>
      <x:c r="I38" s="13"/>
      <x:c r="J38" s="13"/>
      <x:c r="K38" s="13"/>
      <x:c r="L38" s="13"/>
    </x:row>
    <x:row r="39">
      <x:c r="A39" s="12" t="str">
        <x:v>A2</x:v>
      </x:c>
      <x:c r="B39" s="13" t="n">
        <x:f>SQRT(((J17-B32)^2+(K17-C32)^2+(L17-D32)^2)/3)+SQRT(((J18-B33)^2+(K18-C33)^2+(L18-D33)^2)/3)+SQRT(((J19-B34)^2+(K19-C34)^2+(L19-D34)^2)/3)+SQRT(((J20-B35)^2+(K20-C35)^2+(L20-D35)^2)/3)</x:f>
        <x:v>0.1257525831869108</x:v>
      </x:c>
      <x:c r="C39" s="13" t="n">
        <x:f>SQRT(((J17-E32)^2+(K17-F32)^2+(L17-G32)^2)/3)+SQRT(((J18-E33)^2+(K18-F33)^2+(L18-G33)^2)/3)+SQRT(((J19-E34)^2+(K19-F34)^2+(L19-G34)^2)/3)+SQRT(((J20-E35)^2+(K20-F35)^2+(L20-G35)^2)/3)</x:f>
        <x:v>0.0833839763797548</x:v>
      </x:c>
      <x:c r="D39" s="13" t="n">
        <x:f>C39/(B39+C39)</x:f>
        <x:v>0.39870588170967225</x:v>
      </x:c>
      <x:c r="E39" s="15" t="n">
        <x:f>RANK(D39,$D$38:$D$41,0)</x:f>
        <x:v>3</x:v>
      </x:c>
      <x:c r="F39" s="13"/>
      <x:c r="G39" s="13"/>
      <x:c r="H39" s="13"/>
      <x:c r="I39" s="13"/>
      <x:c r="J39" s="13"/>
      <x:c r="K39" s="13"/>
      <x:c r="L39" s="13"/>
    </x:row>
    <x:row r="40">
      <x:c r="A40" s="12" t="str">
        <x:v>A3</x:v>
      </x:c>
      <x:c r="B40" s="13" t="n">
        <x:f>SQRT(((J21-B32)^2+(K21-C32)^2+(L21-D32)^2)/3)+SQRT(((J22-B33)^2+(K22-C33)^2+(L22-D33)^2)/3)+SQRT(((J23-B34)^2+(K23-C34)^2+(L23-D34)^2)/3)+SQRT(((J24-B35)^2+(K24-C35)^2+(L24-D35)^2)/3)</x:f>
        <x:v>0.037520249039616226</x:v>
      </x:c>
      <x:c r="C40" s="13" t="n">
        <x:f>SQRT(((J21-E32)^2+(K21-F32)^2+(L21-G32)^2)/3)+SQRT(((J22-E33)^2+(K22-F33)^2+(L22-G33)^2)/3)+SQRT(((J23-E34)^2+(K23-F34)^2+(L23-G34)^2)/3)+SQRT(((J24-E35)^2+(K24-F35)^2+(L24-G35)^2)/3)</x:f>
        <x:v>0.174220434654581</x:v>
      </x:c>
      <x:c r="D40" s="13" t="n">
        <x:f>C40/(B40+C40)</x:f>
        <x:v>0.8228009450757976</x:v>
      </x:c>
      <x:c r="E40" s="15" t="n">
        <x:f>RANK(D40,$D$38:$D$41,0)</x:f>
        <x:v>1</x:v>
      </x:c>
      <x:c r="F40" s="13"/>
      <x:c r="G40" s="13"/>
      <x:c r="H40" s="13"/>
      <x:c r="I40" s="13"/>
      <x:c r="J40" s="13"/>
      <x:c r="K40" s="13"/>
      <x:c r="L40" s="13"/>
    </x:row>
    <x:row r="41">
      <x:c r="A41" s="12" t="str">
        <x:v>A4</x:v>
      </x:c>
      <x:c r="B41" s="13" t="n">
        <x:f>SQRT(((J25-B32)^2+(K25-C32)^2+(L25-D32)^2)/3)+SQRT(((J26-B33)^2+(K26-C33)^2+(L26-D33)^2)/3)+SQRT(((J27-B34)^2+(K27-C34)^2+(L27-D34)^2)/3)+SQRT(((J28-B35)^2+(K28-C35)^2+(L28-D35)^2)/3)</x:f>
        <x:v>0.08813856876274956</x:v>
      </x:c>
      <x:c r="C41" s="13" t="n">
        <x:f>SQRT(((J25-E32)^2+(K25-F32)^2+(L25-G32)^2)/3)+SQRT(((J26-E33)^2+(K26-F33)^2+(L26-G33)^2)/3)+SQRT(((J27-E34)^2+(K27-F34)^2+(L27-G34)^2)/3)+SQRT(((J28-E35)^2+(K28-F35)^2+(L28-G35)^2)/3)</x:f>
        <x:v>0.12139126426123824</x:v>
      </x:c>
      <x:c r="D41" s="13" t="n">
        <x:f>C41/(B41+C41)</x:f>
        <x:v>0.579350742131985</x:v>
      </x:c>
      <x:c r="E41" s="15" t="n">
        <x:f>RANK(D41,$D$38:$D$41,0)</x:f>
        <x:v>2</x:v>
      </x:c>
      <x:c r="F41" s="13"/>
      <x:c r="G41" s="13"/>
      <x:c r="H41" s="13"/>
      <x:c r="I41" s="13"/>
      <x:c r="J41" s="13"/>
      <x:c r="K41" s="13"/>
      <x:c r="L41" s="13"/>
    </x:row>
  </x:sheetData>
  <x:mergeCells>
    <x:mergeCell ref="A1:L1"/>
    <x:mergeCell ref="A9:C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27" hidden="0" customWidth="1"/>
    <x:col min="3" max="3" width="27" hidden="0" customWidth="1"/>
    <x:col min="4" max="4" width="27" hidden="0" customWidth="1"/>
    <x:col min="5" max="5" width="2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>
      <x:c r="A1" s="6" t="str">
        <x:v>Расчёт МАИ</x:v>
      </x:c>
      <x:c r="B1" s="6"/>
      <x:c r="C1" s="6"/>
      <x:c r="D1" s="6"/>
      <x:c r="E1" s="6"/>
      <x:c r="F1" s="6"/>
      <x:c r="G1" s="6"/>
      <x:c r="H1" s="6"/>
      <x:c r="I1" s="6"/>
    </x:row>
    <x:row r="3">
      <x:c r="A3" s="11" t="str">
        <x:v>Матрица критериев</x:v>
      </x:c>
      <x:c r="B3" s="11"/>
      <x:c r="C3" s="11"/>
      <x:c r="D3" s="11"/>
      <x:c r="E3" s="11"/>
      <x:c r="F3" s="11"/>
      <x:c r="G3" s="11"/>
      <x:c r="H3" s="11"/>
      <x:c r="I3" s="11"/>
    </x:row>
    <x:row r="4">
      <x:c r="A4" s="16" t="str">
        <x:v>Элемент</x:v>
      </x:c>
      <x:c r="B4" s="16" t="str">
        <x:v>C1</x:v>
      </x:c>
      <x:c r="C4" s="16" t="str">
        <x:v>C2</x:v>
      </x:c>
      <x:c r="D4" s="16" t="str">
        <x:v>C3</x:v>
      </x:c>
      <x:c r="E4" s="16" t="str">
        <x:v>C4</x:v>
      </x:c>
      <x:c r="F4" s="16" t="str">
        <x:v>Геом. ср.</x:v>
      </x:c>
      <x:c r="G4" s="16" t="str">
        <x:v>Приоритет</x:v>
      </x:c>
      <x:c r="H4" s="16" t="str">
        <x:v>Aw</x:v>
      </x:c>
      <x:c r="I4" s="16" t="str">
        <x:v>Aw/w</x:v>
      </x:c>
    </x:row>
    <x:row r="5">
      <x:c r="A5" s="12" t="str">
        <x:v>C1 Полезность</x:v>
      </x:c>
      <x:c r="B5" s="13" t="n">
        <x:v>1</x:v>
      </x:c>
      <x:c r="C5" s="13" t="n">
        <x:f>('Оценки'!D41*'Оценки'!E41*'Оценки'!F41*'Оценки'!G41)^(1/4)</x:f>
        <x:v>1</x:v>
      </x:c>
      <x:c r="D5" s="13" t="n">
        <x:f>('Оценки'!D42*'Оценки'!E42*'Оценки'!F42*'Оценки'!G42)^(1/4)</x:f>
        <x:v>2.2133638394006434</x:v>
      </x:c>
      <x:c r="E5" s="13" t="n">
        <x:f>('Оценки'!D43*'Оценки'!E43*'Оценки'!F43*'Оценки'!G43)^(1/4)</x:f>
        <x:v>1.189207115002721</x:v>
      </x:c>
      <x:c r="F5" s="13" t="n">
        <x:f>PRODUCT(B5:E5)^(1/4)</x:f>
        <x:v>1.2737305851752865</x:v>
      </x:c>
      <x:c r="G5" s="13" t="n">
        <x:f>F5/SUM($F$5:$F$8)</x:f>
        <x:v>0.3020443386213837</x:v>
      </x:c>
      <x:c r="H5" s="13" t="n">
        <x:f>B5*$G$5+C5*$G$6+D5*$G$7+E5*$G$8</x:f>
        <x:v>1.2087443107759743</x:v>
      </x:c>
      <x:c r="I5" s="13" t="n">
        <x:f>H5/G5</x:f>
        <x:v>4.0018770631259875</x:v>
      </x:c>
    </x:row>
    <x:row r="6">
      <x:c r="A6" s="12" t="str">
        <x:v>C2 Реализуемость</x:v>
      </x:c>
      <x:c r="B6" s="13" t="n">
        <x:f>1/C5</x:f>
        <x:v>1</x:v>
      </x:c>
      <x:c r="C6" s="13" t="n">
        <x:v>1</x:v>
      </x:c>
      <x:c r="D6" s="13" t="n">
        <x:f>('Оценки'!D44*'Оценки'!E44*'Оценки'!F44*'Оценки'!G44)^(1/4)</x:f>
        <x:v>2.2133638394006434</x:v>
      </x:c>
      <x:c r="E6" s="13" t="n">
        <x:f>('Оценки'!D45*'Оценки'!E45*'Оценки'!F45*'Оценки'!G45)^(1/4)</x:f>
        <x:v>1.189207115002721</x:v>
      </x:c>
      <x:c r="F6" s="13" t="n">
        <x:f>PRODUCT(B6:E6)^(1/4)</x:f>
        <x:v>1.2737305851752865</x:v>
      </x:c>
      <x:c r="G6" s="13" t="n">
        <x:f>F6/SUM($F$5:$F$8)</x:f>
        <x:v>0.3020443386213837</x:v>
      </x:c>
      <x:c r="H6" s="13" t="n">
        <x:f>B6*$G$5+C6*$G$6+D6*$G$7+E6*$G$8</x:f>
        <x:v>1.2087443107759743</x:v>
      </x:c>
      <x:c r="I6" s="13" t="n">
        <x:f>H6/G6</x:f>
        <x:v>4.0018770631259875</x:v>
      </x:c>
    </x:row>
    <x:row r="7">
      <x:c r="A7" s="12" t="str">
        <x:v>C3 Ясность сценариев</x:v>
      </x:c>
      <x:c r="B7" s="13" t="n">
        <x:f>1/D5</x:f>
        <x:v>0.4518010018049224</x:v>
      </x:c>
      <x:c r="C7" s="13" t="n">
        <x:f>1/D6</x:f>
        <x:v>0.4518010018049224</x:v>
      </x:c>
      <x:c r="D7" s="13" t="n">
        <x:v>1</x:v>
      </x:c>
      <x:c r="E7" s="13" t="n">
        <x:f>('Оценки'!D46*'Оценки'!E46*'Оценки'!F46*'Оценки'!G46)^(1/4)</x:f>
        <x:v>0.4518010018049224</x:v>
      </x:c>
      <x:c r="F7" s="13" t="n">
        <x:f>PRODUCT(B7:E7)^(1/4)</x:f>
        <x:v>0.5510745975773502</x:v>
      </x:c>
      <x:c r="G7" s="13" t="n">
        <x:f>F7/SUM($F$5:$F$8)</x:f>
        <x:v>0.13067831164106794</x:v>
      </x:c>
      <x:c r="H7" s="13" t="n">
        <x:f>B7*$G$5+C7*$G$6+D7*$G$7+E7*$G$8</x:f>
        <x:v>0.52343872133238</x:v>
      </x:c>
      <x:c r="I7" s="13" t="n">
        <x:f>H7/G7</x:f>
        <x:v>4.005551608059498</x:v>
      </x:c>
    </x:row>
    <x:row r="8">
      <x:c r="A8" s="12" t="str">
        <x:v>C4 Пригодность для планирования</x:v>
      </x:c>
      <x:c r="B8" s="13" t="n">
        <x:f>1/E5</x:f>
        <x:v>0.8408964152537146</x:v>
      </x:c>
      <x:c r="C8" s="13" t="n">
        <x:f>1/E6</x:f>
        <x:v>0.8408964152537146</x:v>
      </x:c>
      <x:c r="D8" s="13" t="n">
        <x:f>1/E7</x:f>
        <x:v>2.2133638394006434</x:v>
      </x:c>
      <x:c r="E8" s="13" t="n">
        <x:v>1</x:v>
      </x:c>
      <x:c r="F8" s="13" t="n">
        <x:f>PRODUCT(B8:E8)^(1/4)</x:f>
        <x:v>1.118496045973822</x:v>
      </x:c>
      <x:c r="G8" s="13" t="n">
        <x:f>F8/SUM($F$5:$F$8)</x:f>
        <x:v>0.2652330111161648</x:v>
      </x:c>
      <x:c r="H8" s="13" t="n">
        <x:f>B8*$G$5+C8*$G$6+D8*$G$7+E8*$G$8</x:f>
        <x:v>1.062447663885234</x:v>
      </x:c>
      <x:c r="I8" s="13" t="n">
        <x:f>H8/G8</x:f>
        <x:v>4.005714294062405</x:v>
      </x:c>
    </x:row>
    <x:row r="9">
      <x:c r="A9" s="12"/>
      <x:c r="B9" s="13"/>
      <x:c r="C9" s="13"/>
      <x:c r="D9" s="13"/>
      <x:c r="E9" s="13"/>
      <x:c r="F9" s="13"/>
      <x:c r="G9" s="13"/>
      <x:c r="H9" s="13" t="str">
        <x:v>λmax</x:v>
      </x:c>
      <x:c r="I9" s="13" t="n">
        <x:f>AVERAGE(I5:I8)</x:f>
        <x:v>4.00375500709347</x:v>
      </x:c>
    </x:row>
    <x:row r="10">
      <x:c r="A10" s="12"/>
      <x:c r="B10" s="13"/>
      <x:c r="C10" s="13"/>
      <x:c r="D10" s="13"/>
      <x:c r="E10" s="13"/>
      <x:c r="F10" s="13"/>
      <x:c r="G10" s="13"/>
      <x:c r="H10" s="13" t="str">
        <x:v>CI</x:v>
      </x:c>
      <x:c r="I10" s="13" t="n">
        <x:f>(I9-4)/3</x:f>
        <x:v>0.0012516690311565881</x:v>
      </x:c>
    </x:row>
    <x:row r="11">
      <x:c r="A11" s="12"/>
      <x:c r="B11" s="13"/>
      <x:c r="C11" s="13"/>
      <x:c r="D11" s="13"/>
      <x:c r="E11" s="13"/>
      <x:c r="F11" s="13"/>
      <x:c r="G11" s="13"/>
      <x:c r="H11" s="13" t="str">
        <x:v>CR</x:v>
      </x:c>
      <x:c r="I11" s="13" t="n">
        <x:f>I10/0.9</x:f>
        <x:v>0.0013907433679517646</x:v>
      </x:c>
    </x:row>
    <x:row r="12">
      <x:c r="A12" s="12"/>
      <x:c r="B12" s="13"/>
      <x:c r="C12" s="13"/>
      <x:c r="D12" s="13"/>
      <x:c r="E12" s="13"/>
      <x:c r="F12" s="13"/>
      <x:c r="G12" s="13"/>
      <x:c r="H12" s="13"/>
      <x:c r="I12" s="13"/>
    </x:row>
    <x:row r="13">
      <x:c r="A13" s="11" t="str">
        <x:v>Альтернативы по C1 Полезность</x:v>
      </x:c>
      <x:c r="B13" s="14"/>
      <x:c r="C13" s="14"/>
      <x:c r="D13" s="14"/>
      <x:c r="E13" s="14"/>
      <x:c r="F13" s="14"/>
      <x:c r="G13" s="14"/>
      <x:c r="H13" s="14"/>
      <x:c r="I13" s="14"/>
    </x:row>
    <x:row r="14">
      <x:c r="A14" s="16" t="str">
        <x:v>Элемент</x:v>
      </x:c>
      <x:c r="B14" s="17" t="str">
        <x:v>A1</x:v>
      </x:c>
      <x:c r="C14" s="17" t="str">
        <x:v>A2</x:v>
      </x:c>
      <x:c r="D14" s="17" t="str">
        <x:v>A3</x:v>
      </x:c>
      <x:c r="E14" s="17" t="str">
        <x:v>A4</x:v>
      </x:c>
      <x:c r="F14" s="17" t="str">
        <x:v>Геом. ср.</x:v>
      </x:c>
      <x:c r="G14" s="17" t="str">
        <x:v>Приоритет</x:v>
      </x:c>
      <x:c r="H14" s="17" t="str">
        <x:v>Aw</x:v>
      </x:c>
      <x:c r="I14" s="17" t="str">
        <x:v>Aw/w</x:v>
      </x:c>
    </x:row>
    <x:row r="15">
      <x:c r="A15" s="12" t="str">
        <x:v>A1 Бронирование помещений</x:v>
      </x:c>
      <x:c r="B15" s="13" t="n">
        <x:v>1</x:v>
      </x:c>
      <x:c r="C15" s="13" t="n">
        <x:f>('Оценки'!D47*'Оценки'!E47*'Оценки'!F47*'Оценки'!G47)^(1/4)</x:f>
        <x:v>0.8408964152537145</x:v>
      </x:c>
      <x:c r="D15" s="13" t="n">
        <x:f>('Оценки'!D48*'Оценки'!E48*'Оценки'!F48*'Оценки'!G48)^(1/4)</x:f>
        <x:v>0.537284965911771</x:v>
      </x:c>
      <x:c r="E15" s="13" t="n">
        <x:f>('Оценки'!D49*'Оценки'!E49*'Оценки'!F49*'Оценки'!G49)^(1/4)</x:f>
        <x:v>0.8408964152537145</x:v>
      </x:c>
      <x:c r="F15" s="13" t="n">
        <x:f>PRODUCT(B15:E15)^(1/4)</x:f>
        <x:v>0.7850953817383474</x:v>
      </x:c>
      <x:c r="G15" s="13" t="n">
        <x:f>F15/SUM($F$15:$F$18)</x:f>
        <x:v>0.19259070878133588</x:v>
      </x:c>
      <x:c r="H15" s="13" t="n">
        <x:f>B15*$G$15+C15*$G$16+D15*$G$17+E15*$G$18</x:f>
        <x:v>0.772472657378998</x:v>
      </x:c>
      <x:c r="I15" s="13" t="n">
        <x:f>H15/G15</x:f>
        <x:v>4.010954953471042</x:v>
      </x:c>
    </x:row>
    <x:row r="16">
      <x:c r="A16" s="12" t="str">
        <x:v>A2 Учебные группы</x:v>
      </x:c>
      <x:c r="B16" s="13" t="n">
        <x:f>1/C15</x:f>
        <x:v>1.189207115002721</x:v>
      </x:c>
      <x:c r="C16" s="13" t="n">
        <x:v>1</x:v>
      </x:c>
      <x:c r="D16" s="13" t="n">
        <x:f>('Оценки'!D50*'Оценки'!E50*'Оценки'!F50*'Оценки'!G50)^(1/4)</x:f>
        <x:v>0.5946035575013605</x:v>
      </x:c>
      <x:c r="E16" s="13" t="n">
        <x:f>('Оценки'!D51*'Оценки'!E51*'Оценки'!F51*'Оценки'!G51)^(1/4)</x:f>
        <x:v>1</x:v>
      </x:c>
      <x:c r="F16" s="13" t="n">
        <x:f>PRODUCT(B16:E16)^(1/4)</x:f>
        <x:v>0.9170040432046712</x:v>
      </x:c>
      <x:c r="G16" s="13" t="n">
        <x:f>F16/SUM($F$15:$F$18)</x:f>
        <x:v>0.22494904790434353</x:v>
      </x:c>
      <x:c r="H16" s="13" t="n">
        <x:f>B16*$G$15+C16*$G$16+D16*$G$17+E16*$G$18</x:f>
        <x:v>0.9041623930498183</x:v>
      </x:c>
      <x:c r="I16" s="13" t="n">
        <x:f>H16/G16</x:f>
        <x:v>4.019409735107218</x:v>
      </x:c>
    </x:row>
    <x:row r="17">
      <x:c r="A17" s="12" t="str">
        <x:v>A3 Студенческие события</x:v>
      </x:c>
      <x:c r="B17" s="13" t="n">
        <x:f>1/D15</x:f>
        <x:v>1.8612097182041991</x:v>
      </x:c>
      <x:c r="C17" s="13" t="n">
        <x:f>1/D16</x:f>
        <x:v>1.6817928305074292</x:v>
      </x:c>
      <x:c r="D17" s="13" t="n">
        <x:v>1</x:v>
      </x:c>
      <x:c r="E17" s="13" t="n">
        <x:f>('Оценки'!D52*'Оценки'!E52*'Оценки'!F52*'Оценки'!G52)^(1/4)</x:f>
        <x:v>1</x:v>
      </x:c>
      <x:c r="F17" s="13" t="n">
        <x:f>PRODUCT(B17:E17)^(1/4)</x:f>
        <x:v>1.3301234559744797</x:v>
      </x:c>
      <x:c r="G17" s="13" t="n">
        <x:f>F17/SUM($F$15:$F$18)</x:f>
        <x:v>0.32629082416151556</x:v>
      </x:c>
      <x:c r="H17" s="13" t="n">
        <x:f>B17*$G$15+C17*$G$16+D17*$G$17+E17*$G$18</x:f>
        <x:v>1.3192296381289748</x:v>
      </x:c>
      <x:c r="I17" s="13" t="n">
        <x:f>H17/G17</x:f>
        <x:v>4.043109828537347</x:v>
      </x:c>
    </x:row>
    <x:row r="18">
      <x:c r="A18" s="12" t="str">
        <x:v>A4 Волонтёрские смены</x:v>
      </x:c>
      <x:c r="B18" s="13" t="n">
        <x:f>1/E15</x:f>
        <x:v>1.189207115002721</x:v>
      </x:c>
      <x:c r="C18" s="13" t="n">
        <x:f>1/E16</x:f>
        <x:v>1</x:v>
      </x:c>
      <x:c r="D18" s="13" t="n">
        <x:f>1/E17</x:f>
        <x:v>1</x:v>
      </x:c>
      <x:c r="E18" s="13" t="n">
        <x:v>1</x:v>
      </x:c>
      <x:c r="F18" s="13" t="n">
        <x:f>PRODUCT(B18:E18)^(1/4)</x:f>
        <x:v>1.0442737824274138</x:v>
      </x:c>
      <x:c r="G18" s="13" t="n">
        <x:f>F18/SUM($F$15:$F$18)</x:f>
        <x:v>0.256169419152805</x:v>
      </x:c>
      <x:c r="H18" s="13" t="n">
        <x:f>B18*$G$15+C18*$G$16+D18*$G$17+E18*$G$18</x:f>
        <x:v>1.0364395323848457</x:v>
      </x:c>
      <x:c r="I18" s="13" t="n">
        <x:f>H18/G18</x:f>
        <x:v>4.045914363285532</x:v>
      </x:c>
    </x:row>
    <x:row r="19">
      <x:c r="A19" s="12"/>
      <x:c r="B19" s="13"/>
      <x:c r="C19" s="13"/>
      <x:c r="D19" s="13"/>
      <x:c r="E19" s="13"/>
      <x:c r="F19" s="13"/>
      <x:c r="G19" s="13"/>
      <x:c r="H19" s="13" t="str">
        <x:v>λmax</x:v>
      </x:c>
      <x:c r="I19" s="13" t="n">
        <x:f>AVERAGE(I15:I18)</x:f>
        <x:v>4.029847220100285</x:v>
      </x:c>
    </x:row>
    <x:row r="20">
      <x:c r="A20" s="12"/>
      <x:c r="B20" s="13"/>
      <x:c r="C20" s="13"/>
      <x:c r="D20" s="13"/>
      <x:c r="E20" s="13"/>
      <x:c r="F20" s="13"/>
      <x:c r="G20" s="13"/>
      <x:c r="H20" s="13" t="str">
        <x:v>CI</x:v>
      </x:c>
      <x:c r="I20" s="13" t="n">
        <x:f>(I19-4)/3</x:f>
        <x:v>0.009949073366761615</x:v>
      </x:c>
    </x:row>
    <x:row r="21">
      <x:c r="A21" s="12"/>
      <x:c r="B21" s="13"/>
      <x:c r="C21" s="13"/>
      <x:c r="D21" s="13"/>
      <x:c r="E21" s="13"/>
      <x:c r="F21" s="13"/>
      <x:c r="G21" s="13"/>
      <x:c r="H21" s="13" t="str">
        <x:v>CR</x:v>
      </x:c>
      <x:c r="I21" s="13" t="n">
        <x:f>I20/0.9</x:f>
        <x:v>0.01105452596306846</x:v>
      </x:c>
    </x:row>
    <x:row r="22">
      <x:c r="A22" s="12"/>
      <x:c r="B22" s="13"/>
      <x:c r="C22" s="13"/>
      <x:c r="D22" s="13"/>
      <x:c r="E22" s="13"/>
      <x:c r="F22" s="13"/>
      <x:c r="G22" s="13"/>
      <x:c r="H22" s="13"/>
      <x:c r="I22" s="13"/>
    </x:row>
    <x:row r="23">
      <x:c r="A23" s="11" t="str">
        <x:v>Альтернативы по C2 Реализуемость</x:v>
      </x:c>
      <x:c r="B23" s="14"/>
      <x:c r="C23" s="14"/>
      <x:c r="D23" s="14"/>
      <x:c r="E23" s="14"/>
      <x:c r="F23" s="14"/>
      <x:c r="G23" s="14"/>
      <x:c r="H23" s="14"/>
      <x:c r="I23" s="14"/>
    </x:row>
    <x:row r="24">
      <x:c r="A24" s="16" t="str">
        <x:v>Элемент</x:v>
      </x:c>
      <x:c r="B24" s="17" t="str">
        <x:v>A1</x:v>
      </x:c>
      <x:c r="C24" s="17" t="str">
        <x:v>A2</x:v>
      </x:c>
      <x:c r="D24" s="17" t="str">
        <x:v>A3</x:v>
      </x:c>
      <x:c r="E24" s="17" t="str">
        <x:v>A4</x:v>
      </x:c>
      <x:c r="F24" s="17" t="str">
        <x:v>Геом. ср.</x:v>
      </x:c>
      <x:c r="G24" s="17" t="str">
        <x:v>Приоритет</x:v>
      </x:c>
      <x:c r="H24" s="17" t="str">
        <x:v>Aw</x:v>
      </x:c>
      <x:c r="I24" s="17" t="str">
        <x:v>Aw/w</x:v>
      </x:c>
    </x:row>
    <x:row r="25">
      <x:c r="A25" s="12" t="str">
        <x:v>A1 Бронирование помещений</x:v>
      </x:c>
      <x:c r="B25" s="13" t="n">
        <x:v>1</x:v>
      </x:c>
      <x:c r="C25" s="13" t="n">
        <x:f>('Оценки'!D53*'Оценки'!E53*'Оценки'!F53*'Оценки'!G53)^(1/4)</x:f>
        <x:v>0.408248290463863</x:v>
      </x:c>
      <x:c r="D25" s="13" t="n">
        <x:f>('Оценки'!D54*'Оценки'!E54*'Оценки'!F54*'Оценки'!G54)^(1/4)</x:f>
        <x:v>0.6389431042462724</x:v>
      </x:c>
      <x:c r="E25" s="13" t="n">
        <x:f>('Оценки'!D55*'Оценки'!E55*'Оценки'!F55*'Оценки'!G55)^(1/4)</x:f>
        <x:v>0.7071067811865476</x:v>
      </x:c>
      <x:c r="F25" s="13" t="n">
        <x:f>PRODUCT(B25:E25)^(1/4)</x:f>
        <x:v>0.6553418323362462</x:v>
      </x:c>
      <x:c r="G25" s="13" t="n">
        <x:f>F25/SUM($F$25:$F$28)</x:f>
        <x:v>0.1564352183077154</x:v>
      </x:c>
      <x:c r="H25" s="13" t="n">
        <x:f>B25*$G$25+C25*$G$26+D25*$G$27+E25*$G$28</x:f>
        <x:v>0.6277855641305305</x:v>
      </x:c>
      <x:c r="I25" s="13" t="n">
        <x:f>H25/G25</x:f>
        <x:v>4.013070527990998</x:v>
      </x:c>
    </x:row>
    <x:row r="26">
      <x:c r="A26" s="12" t="str">
        <x:v>A2 Учебные группы</x:v>
      </x:c>
      <x:c r="B26" s="13" t="n">
        <x:f>1/C25</x:f>
        <x:v>2.449489742783178</x:v>
      </x:c>
      <x:c r="C26" s="13" t="n">
        <x:v>1</x:v>
      </x:c>
      <x:c r="D26" s="13" t="n">
        <x:f>('Оценки'!D56*'Оценки'!E56*'Оценки'!F56*'Оценки'!G56)^(1/4)</x:f>
        <x:v>1</x:v>
      </x:c>
      <x:c r="E26" s="13" t="n">
        <x:f>('Оценки'!D57*'Оценки'!E57*'Оценки'!F57*'Оценки'!G57)^(1/4)</x:f>
        <x:v>2</x:v>
      </x:c>
      <x:c r="F26" s="13" t="n">
        <x:f>PRODUCT(B26:E26)^(1/4)</x:f>
        <x:v>1.4877378261644902</x:v>
      </x:c>
      <x:c r="G26" s="13" t="n">
        <x:f>F26/SUM($F$25:$F$28)</x:f>
        <x:v>0.3551346490288984</x:v>
      </x:c>
      <x:c r="H26" s="13" t="n">
        <x:f>B26*$G$25+C26*$G$26+D26*$G$27+E26*$G$28</x:f>
        <x:v>1.43636680416261</x:v>
      </x:c>
      <x:c r="I26" s="13" t="n">
        <x:f>H26/G26</x:f>
        <x:v>4.044569596603142</x:v>
      </x:c>
    </x:row>
    <x:row r="27">
      <x:c r="A27" s="12" t="str">
        <x:v>A3 Студенческие события</x:v>
      </x:c>
      <x:c r="B27" s="13" t="n">
        <x:f>1/D25</x:f>
        <x:v>1.5650845800732873</x:v>
      </x:c>
      <x:c r="C27" s="13" t="n">
        <x:f>1/D26</x:f>
        <x:v>1</x:v>
      </x:c>
      <x:c r="D27" s="13" t="n">
        <x:v>1</x:v>
      </x:c>
      <x:c r="E27" s="13" t="n">
        <x:f>('Оценки'!D58*'Оценки'!E58*'Оценки'!F58*'Оценки'!G58)^(1/4)</x:f>
        <x:v>1.189207115002721</x:v>
      </x:c>
      <x:c r="F27" s="13" t="n">
        <x:f>PRODUCT(B27:E27)^(1/4)</x:f>
        <x:v>1.1680160965591895</x:v>
      </x:c>
      <x:c r="G27" s="13" t="n">
        <x:f>F27/SUM($F$25:$F$28)</x:f>
        <x:v>0.278814572847857</x:v>
      </x:c>
      <x:c r="H27" s="13" t="n">
        <x:f>B27*$G$25+C27*$G$26+D27*$G$27+E27*$G$28</x:f>
        <x:v>1.128059884978465</x:v>
      </x:c>
      <x:c r="I27" s="13" t="n">
        <x:f>H27/G27</x:f>
        <x:v>4.045914363285533</x:v>
      </x:c>
    </x:row>
    <x:row r="28">
      <x:c r="A28" s="12" t="str">
        <x:v>A4 Волонтёрские смены</x:v>
      </x:c>
      <x:c r="B28" s="13" t="n">
        <x:f>1/E25</x:f>
        <x:v>1.414213562373095</x:v>
      </x:c>
      <x:c r="C28" s="13" t="n">
        <x:f>1/E26</x:f>
        <x:v>0.5</x:v>
      </x:c>
      <x:c r="D28" s="13" t="n">
        <x:f>1/E27</x:f>
        <x:v>0.8408964152537146</x:v>
      </x:c>
      <x:c r="E28" s="13" t="n">
        <x:v>1</x:v>
      </x:c>
      <x:c r="F28" s="13" t="n">
        <x:f>PRODUCT(B28:E28)^(1/4)</x:f>
        <x:v>0.8781260801866497</x:v>
      </x:c>
      <x:c r="G28" s="13" t="n">
        <x:f>F28/SUM($F$25:$F$28)</x:f>
        <x:v>0.20961555981552923</x:v>
      </x:c>
      <x:c r="H28" s="13" t="n">
        <x:f>B28*$G$25+C28*$G$26+D28*$G$27+E28*$G$28</x:f>
        <x:v>0.8428698665218041</x:v>
      </x:c>
      <x:c r="I28" s="13" t="n">
        <x:f>H28/G28</x:f>
        <x:v>4.02102719504013</x:v>
      </x:c>
    </x:row>
    <x:row r="29">
      <x:c r="A29" s="12"/>
      <x:c r="B29" s="13"/>
      <x:c r="C29" s="13"/>
      <x:c r="D29" s="13"/>
      <x:c r="E29" s="13"/>
      <x:c r="F29" s="13"/>
      <x:c r="G29" s="13"/>
      <x:c r="H29" s="13" t="str">
        <x:v>λmax</x:v>
      </x:c>
      <x:c r="I29" s="13" t="n">
        <x:f>AVERAGE(I25:I28)</x:f>
        <x:v>4.031145420729951</x:v>
      </x:c>
    </x:row>
    <x:row r="30">
      <x:c r="A30" s="12"/>
      <x:c r="B30" s="13"/>
      <x:c r="C30" s="13"/>
      <x:c r="D30" s="13"/>
      <x:c r="E30" s="13"/>
      <x:c r="F30" s="13"/>
      <x:c r="G30" s="13"/>
      <x:c r="H30" s="13" t="str">
        <x:v>CI</x:v>
      </x:c>
      <x:c r="I30" s="13" t="n">
        <x:f>(I29-4)/3</x:f>
        <x:v>0.010381806909983618</x:v>
      </x:c>
    </x:row>
    <x:row r="31">
      <x:c r="A31" s="12"/>
      <x:c r="B31" s="13"/>
      <x:c r="C31" s="13"/>
      <x:c r="D31" s="13"/>
      <x:c r="E31" s="13"/>
      <x:c r="F31" s="13"/>
      <x:c r="G31" s="13"/>
      <x:c r="H31" s="13" t="str">
        <x:v>CR</x:v>
      </x:c>
      <x:c r="I31" s="13" t="n">
        <x:f>I30/0.9</x:f>
        <x:v>0.011535341011092909</x:v>
      </x:c>
    </x:row>
    <x:row r="32">
      <x:c r="A32" s="12"/>
      <x:c r="B32" s="13"/>
      <x:c r="C32" s="13"/>
      <x:c r="D32" s="13"/>
      <x:c r="E32" s="13"/>
      <x:c r="F32" s="13"/>
      <x:c r="G32" s="13"/>
      <x:c r="H32" s="13"/>
      <x:c r="I32" s="13"/>
    </x:row>
    <x:row r="33">
      <x:c r="A33" s="11" t="str">
        <x:v>Альтернативы по C3 Ясность сценариев</x:v>
      </x:c>
      <x:c r="B33" s="14"/>
      <x:c r="C33" s="14"/>
      <x:c r="D33" s="14"/>
      <x:c r="E33" s="14"/>
      <x:c r="F33" s="14"/>
      <x:c r="G33" s="14"/>
      <x:c r="H33" s="14"/>
      <x:c r="I33" s="14"/>
    </x:row>
    <x:row r="34">
      <x:c r="A34" s="16" t="str">
        <x:v>Элемент</x:v>
      </x:c>
      <x:c r="B34" s="17" t="str">
        <x:v>A1</x:v>
      </x:c>
      <x:c r="C34" s="17" t="str">
        <x:v>A2</x:v>
      </x:c>
      <x:c r="D34" s="17" t="str">
        <x:v>A3</x:v>
      </x:c>
      <x:c r="E34" s="17" t="str">
        <x:v>A4</x:v>
      </x:c>
      <x:c r="F34" s="17" t="str">
        <x:v>Геом. ср.</x:v>
      </x:c>
      <x:c r="G34" s="17" t="str">
        <x:v>Приоритет</x:v>
      </x:c>
      <x:c r="H34" s="17" t="str">
        <x:v>Aw</x:v>
      </x:c>
      <x:c r="I34" s="17" t="str">
        <x:v>Aw/w</x:v>
      </x:c>
    </x:row>
    <x:row r="35">
      <x:c r="A35" s="12" t="str">
        <x:v>A1 Бронирование помещений</x:v>
      </x:c>
      <x:c r="B35" s="13" t="n">
        <x:v>1</x:v>
      </x:c>
      <x:c r="C35" s="13" t="n">
        <x:f>('Оценки'!D59*'Оценки'!E59*'Оценки'!F59*'Оценки'!G59)^(1/4)</x:f>
        <x:v>2.0597671439071177</x:v>
      </x:c>
      <x:c r="D35" s="13" t="n">
        <x:f>('Оценки'!D60*'Оценки'!E60*'Оценки'!F60*'Оценки'!G60)^(1/4)</x:f>
        <x:v>1</x:v>
      </x:c>
      <x:c r="E35" s="13" t="n">
        <x:f>('Оценки'!D61*'Оценки'!E61*'Оценки'!F61*'Оценки'!G61)^(1/4)</x:f>
        <x:v>1.189207115002721</x:v>
      </x:c>
      <x:c r="F35" s="13" t="n">
        <x:f>PRODUCT(B35:E35)^(1/4)</x:f>
        <x:v>1.2510334048590739</x:v>
      </x:c>
      <x:c r="G35" s="13" t="n">
        <x:f>F35/SUM($F$35:$F$38)</x:f>
        <x:v>0.2965087300100307</x:v>
      </x:c>
      <x:c r="H35" s="13" t="n">
        <x:f>B35*$G$35+C35*$G$36+D35*$G$37+E35*$G$38</x:f>
        <x:v>1.1901106174544376</x:v>
      </x:c>
      <x:c r="I35" s="13" t="n">
        <x:f>H35/G35</x:f>
        <x:v>4.013745623658963</x:v>
      </x:c>
    </x:row>
    <x:row r="36">
      <x:c r="A36" s="12" t="str">
        <x:v>A2 Учебные группы</x:v>
      </x:c>
      <x:c r="B36" s="13" t="n">
        <x:f>1/C35</x:f>
        <x:v>0.48549177170732344</x:v>
      </x:c>
      <x:c r="C36" s="13" t="n">
        <x:v>1</x:v>
      </x:c>
      <x:c r="D36" s="13" t="n">
        <x:f>('Оценки'!D62*'Оценки'!E62*'Оценки'!F62*'Оценки'!G62)^(1/4)</x:f>
        <x:v>0.408248290463863</x:v>
      </x:c>
      <x:c r="E36" s="13" t="n">
        <x:f>('Оценки'!D63*'Оценки'!E63*'Оценки'!F63*'Оценки'!G63)^(1/4)</x:f>
        <x:v>0.5946035575013605</x:v>
      </x:c>
      <x:c r="F36" s="13" t="n">
        <x:f>PRODUCT(B36:E36)^(1/4)</x:f>
        <x:v>0.5859134099715756</x:v>
      </x:c>
      <x:c r="G36" s="13" t="n">
        <x:f>F36/SUM($F$35:$F$38)</x:f>
        <x:v>0.138867947419908</x:v>
      </x:c>
      <x:c r="H36" s="13" t="n">
        <x:f>B36*$G$35+C36*$G$36+D36*$G$37+E36*$G$38</x:f>
        <x:v>0.5556226690229409</x:v>
      </x:c>
      <x:c r="I36" s="13" t="n">
        <x:f>H36/G36</x:f>
        <x:v>4.001086495092008</x:v>
      </x:c>
    </x:row>
    <x:row r="37">
      <x:c r="A37" s="12" t="str">
        <x:v>A3 Студенческие события</x:v>
      </x:c>
      <x:c r="B37" s="13" t="n">
        <x:f>1/D35</x:f>
        <x:v>1</x:v>
      </x:c>
      <x:c r="C37" s="13" t="n">
        <x:f>1/D36</x:f>
        <x:v>2.449489742783178</x:v>
      </x:c>
      <x:c r="D37" s="13" t="n">
        <x:v>1</x:v>
      </x:c>
      <x:c r="E37" s="13" t="n">
        <x:f>('Оценки'!D64*'Оценки'!E64*'Оценки'!F64*'Оценки'!G64)^(1/4)</x:f>
        <x:v>1.681792830507429</x:v>
      </x:c>
      <x:c r="F37" s="13" t="n">
        <x:f>PRODUCT(B37:E37)^(1/4)</x:f>
        <x:v>1.4246626231544801</x:v>
      </x:c>
      <x:c r="G37" s="13" t="n">
        <x:f>F37/SUM($F$35:$F$38)</x:f>
        <x:v>0.33766077184156335</x:v>
      </x:c>
      <x:c r="H37" s="13" t="n">
        <x:f>B37*$G$35+C37*$G$36+D37*$G$37+E37*$G$38</x:f>
        <x:v>1.3560291052668787</x:v>
      </x:c>
      <x:c r="I37" s="13" t="n">
        <x:f>H37/G37</x:f>
        <x:v>4.015950973135703</x:v>
      </x:c>
    </x:row>
    <x:row r="38">
      <x:c r="A38" s="12" t="str">
        <x:v>A4 Волонтёрские смены</x:v>
      </x:c>
      <x:c r="B38" s="13" t="n">
        <x:f>1/E35</x:f>
        <x:v>0.8408964152537146</x:v>
      </x:c>
      <x:c r="C38" s="13" t="n">
        <x:f>1/E36</x:f>
        <x:v>1.6817928305074292</x:v>
      </x:c>
      <x:c r="D38" s="13" t="n">
        <x:f>1/E37</x:f>
        <x:v>0.5946035575013605</x:v>
      </x:c>
      <x:c r="E38" s="13" t="n">
        <x:v>1</x:v>
      </x:c>
      <x:c r="F38" s="13" t="n">
        <x:f>PRODUCT(B38:E38)^(1/4)</x:f>
        <x:v>0.9576032806985737</x:v>
      </x:c>
      <x:c r="G38" s="13" t="n">
        <x:f>F38/SUM($F$35:$F$38)</x:f>
        <x:v>0.22696255072849794</x:v>
      </x:c>
      <x:c r="H38" s="13" t="n">
        <x:f>B38*$G$35+C38*$G$36+D38*$G$37+E38*$G$38</x:f>
        <x:v>0.9106170934090969</x:v>
      </x:c>
      <x:c r="I38" s="13" t="n">
        <x:f>H38/G38</x:f>
        <x:v>4.012190956112469</x:v>
      </x:c>
    </x:row>
    <x:row r="39">
      <x:c r="A39" s="12"/>
      <x:c r="B39" s="13"/>
      <x:c r="C39" s="13"/>
      <x:c r="D39" s="13"/>
      <x:c r="E39" s="13"/>
      <x:c r="F39" s="13"/>
      <x:c r="G39" s="13"/>
      <x:c r="H39" s="13" t="str">
        <x:v>λmax</x:v>
      </x:c>
      <x:c r="I39" s="13" t="n">
        <x:f>AVERAGE(I35:I38)</x:f>
        <x:v>4.010743511999785</x:v>
      </x:c>
    </x:row>
    <x:row r="40">
      <x:c r="A40" s="12"/>
      <x:c r="B40" s="13"/>
      <x:c r="C40" s="13"/>
      <x:c r="D40" s="13"/>
      <x:c r="E40" s="13"/>
      <x:c r="F40" s="13"/>
      <x:c r="G40" s="13"/>
      <x:c r="H40" s="13" t="str">
        <x:v>CI</x:v>
      </x:c>
      <x:c r="I40" s="13" t="n">
        <x:f>(I39-4)/3</x:f>
        <x:v>0.003581170666595135</x:v>
      </x:c>
    </x:row>
    <x:row r="41">
      <x:c r="A41" s="12"/>
      <x:c r="B41" s="13"/>
      <x:c r="C41" s="13"/>
      <x:c r="D41" s="13"/>
      <x:c r="E41" s="13"/>
      <x:c r="F41" s="13"/>
      <x:c r="G41" s="13"/>
      <x:c r="H41" s="13" t="str">
        <x:v>CR</x:v>
      </x:c>
      <x:c r="I41" s="13" t="n">
        <x:f>I40/0.9</x:f>
        <x:v>0.003979078518439039</x:v>
      </x:c>
    </x:row>
    <x:row r="42">
      <x:c r="A42" s="12"/>
      <x:c r="B42" s="13"/>
      <x:c r="C42" s="13"/>
      <x:c r="D42" s="13"/>
      <x:c r="E42" s="13"/>
      <x:c r="F42" s="13"/>
      <x:c r="G42" s="13"/>
      <x:c r="H42" s="13"/>
      <x:c r="I42" s="13"/>
    </x:row>
    <x:row r="43">
      <x:c r="A43" s="11" t="str">
        <x:v>Альтернативы по C4 Пригодность для планирования</x:v>
      </x:c>
      <x:c r="B43" s="14"/>
      <x:c r="C43" s="14"/>
      <x:c r="D43" s="14"/>
      <x:c r="E43" s="14"/>
      <x:c r="F43" s="14"/>
      <x:c r="G43" s="14"/>
      <x:c r="H43" s="14"/>
      <x:c r="I43" s="14"/>
    </x:row>
    <x:row r="44">
      <x:c r="A44" s="16" t="str">
        <x:v>Элемент</x:v>
      </x:c>
      <x:c r="B44" s="17" t="str">
        <x:v>A1</x:v>
      </x:c>
      <x:c r="C44" s="17" t="str">
        <x:v>A2</x:v>
      </x:c>
      <x:c r="D44" s="17" t="str">
        <x:v>A3</x:v>
      </x:c>
      <x:c r="E44" s="17" t="str">
        <x:v>A4</x:v>
      </x:c>
      <x:c r="F44" s="17" t="str">
        <x:v>Геом. ср.</x:v>
      </x:c>
      <x:c r="G44" s="17" t="str">
        <x:v>Приоритет</x:v>
      </x:c>
      <x:c r="H44" s="17" t="str">
        <x:v>Aw</x:v>
      </x:c>
      <x:c r="I44" s="17" t="str">
        <x:v>Aw/w</x:v>
      </x:c>
    </x:row>
    <x:row r="45">
      <x:c r="A45" s="12" t="str">
        <x:v>A1 Бронирование помещений</x:v>
      </x:c>
      <x:c r="B45" s="13" t="n">
        <x:v>1</x:v>
      </x:c>
      <x:c r="C45" s="13" t="n">
        <x:f>('Оценки'!D65*'Оценки'!E65*'Оценки'!F65*'Оценки'!G65)^(1/4)</x:f>
        <x:v>2</x:v>
      </x:c>
      <x:c r="D45" s="13" t="n">
        <x:f>('Оценки'!D66*'Оценки'!E66*'Оценки'!F66*'Оценки'!G66)^(1/4)</x:f>
        <x:v>1</x:v>
      </x:c>
      <x:c r="E45" s="13" t="n">
        <x:f>('Оценки'!D67*'Оценки'!E67*'Оценки'!F67*'Оценки'!G67)^(1/4)</x:f>
        <x:v>0.5946035575013605</x:v>
      </x:c>
      <x:c r="F45" s="13" t="n">
        <x:f>PRODUCT(B45:E45)^(1/4)</x:f>
        <x:v>1.0442737824274138</x:v>
      </x:c>
      <x:c r="G45" s="13" t="n">
        <x:f>F45/SUM($F$45:$F$48)</x:f>
        <x:v>0.24595554429057037</x:v>
      </x:c>
      <x:c r="H45" s="13" t="n">
        <x:f>B45*$G$45+C45*$G$46+D45*$G$47+E45*$G$48</x:f>
        <x:v>0.9902723017559858</x:v>
      </x:c>
      <x:c r="I45" s="13" t="n">
        <x:f>H45/G45</x:f>
        <x:v>4.026224757861462</x:v>
      </x:c>
    </x:row>
    <x:row r="46">
      <x:c r="A46" s="12" t="str">
        <x:v>A2 Учебные группы</x:v>
      </x:c>
      <x:c r="B46" s="13" t="n">
        <x:f>1/C45</x:f>
        <x:v>0.5</x:v>
      </x:c>
      <x:c r="C46" s="13" t="n">
        <x:v>1</x:v>
      </x:c>
      <x:c r="D46" s="13" t="n">
        <x:f>('Оценки'!D68*'Оценки'!E68*'Оценки'!F68*'Оценки'!G68)^(1/4)</x:f>
        <x:v>0.5</x:v>
      </x:c>
      <x:c r="E46" s="13" t="n">
        <x:f>('Оценки'!D69*'Оценки'!E69*'Оценки'!F69*'Оценки'!G69)^(1/4)</x:f>
        <x:v>0.36889397323344053</x:v>
      </x:c>
      <x:c r="F46" s="13" t="n">
        <x:f>PRODUCT(B46:E46)^(1/4)</x:f>
        <x:v>0.5510745975773502</x:v>
      </x:c>
      <x:c r="G46" s="13" t="n">
        <x:f>F46/SUM($F$45:$F$48)</x:f>
        <x:v>0.1297934075073511</x:v>
      </x:c>
      <x:c r="H46" s="13" t="n">
        <x:f>B46*$G$45+C46*$G$46+D46*$G$47+E46*$G$48</x:f>
        <x:v>0.5197752968848921</x:v>
      </x:c>
      <x:c r="I46" s="13" t="n">
        <x:f>H46/G46</x:f>
        <x:v>4.00463557330871</x:v>
      </x:c>
    </x:row>
    <x:row r="47">
      <x:c r="A47" s="12" t="str">
        <x:v>A3 Студенческие события</x:v>
      </x:c>
      <x:c r="B47" s="13" t="n">
        <x:f>1/D45</x:f>
        <x:v>1</x:v>
      </x:c>
      <x:c r="C47" s="13" t="n">
        <x:f>1/D46</x:f>
        <x:v>2</x:v>
      </x:c>
      <x:c r="D47" s="13" t="n">
        <x:v>1</x:v>
      </x:c>
      <x:c r="E47" s="13" t="n">
        <x:f>('Оценки'!D70*'Оценки'!E70*'Оценки'!F70*'Оценки'!G70)^(1/4)</x:f>
        <x:v>1</x:v>
      </x:c>
      <x:c r="F47" s="13" t="n">
        <x:f>PRODUCT(B47:E47)^(1/4)</x:f>
        <x:v>1.189207115002721</x:v>
      </x:c>
      <x:c r="G47" s="13" t="n">
        <x:f>F47/SUM($F$45:$F$48)</x:f>
        <x:v>0.2800913784934977</x:v>
      </x:c>
      <x:c r="H47" s="13" t="n">
        <x:f>B47*$G$45+C47*$G$46+D47*$G$47+E47*$G$48</x:f>
        <x:v>1.1297934075073512</x:v>
      </x:c>
      <x:c r="I47" s="13" t="n">
        <x:f>H47/G47</x:f>
        <x:v>4.033660063312443</x:v>
      </x:c>
    </x:row>
    <x:row r="48">
      <x:c r="A48" s="12" t="str">
        <x:v>A4 Волонтёрские смены</x:v>
      </x:c>
      <x:c r="B48" s="13" t="n">
        <x:f>1/E45</x:f>
        <x:v>1.6817928305074292</x:v>
      </x:c>
      <x:c r="C48" s="13" t="n">
        <x:f>1/E46</x:f>
        <x:v>2.7108060108295344</x:v>
      </x:c>
      <x:c r="D48" s="13" t="n">
        <x:f>1/E47</x:f>
        <x:v>1</x:v>
      </x:c>
      <x:c r="E48" s="13" t="n">
        <x:v>1</x:v>
      </x:c>
      <x:c r="F48" s="13" t="n">
        <x:f>PRODUCT(B48:E48)^(1/4)</x:f>
        <x:v>1.4612271542086477</x:v>
      </x:c>
      <x:c r="G48" s="13" t="n">
        <x:f>F48/SUM($F$45:$F$48)</x:f>
        <x:v>0.34415966970858086</x:v>
      </x:c>
      <x:c r="H48" s="13" t="n">
        <x:f>B48*$G$45+C48*$G$46+D48*$G$47+E48*$G$48</x:f>
        <x:v>1.3897420684504869</x:v>
      </x:c>
      <x:c r="I48" s="13" t="n">
        <x:f>H48/G48</x:f>
        <x:v>4.038073576800149</x:v>
      </x:c>
    </x:row>
    <x:row r="49">
      <x:c r="A49" s="12"/>
      <x:c r="B49" s="13"/>
      <x:c r="C49" s="13"/>
      <x:c r="D49" s="13"/>
      <x:c r="E49" s="13"/>
      <x:c r="F49" s="13"/>
      <x:c r="G49" s="13"/>
      <x:c r="H49" s="13" t="str">
        <x:v>λmax</x:v>
      </x:c>
      <x:c r="I49" s="13" t="n">
        <x:f>AVERAGE(I45:I48)</x:f>
        <x:v>4.02564849282069</x:v>
      </x:c>
    </x:row>
    <x:row r="50">
      <x:c r="A50" s="12"/>
      <x:c r="B50" s="13"/>
      <x:c r="C50" s="13"/>
      <x:c r="D50" s="13"/>
      <x:c r="E50" s="13"/>
      <x:c r="F50" s="13"/>
      <x:c r="G50" s="13"/>
      <x:c r="H50" s="13" t="str">
        <x:v>CI</x:v>
      </x:c>
      <x:c r="I50" s="13" t="n">
        <x:f>(I49-4)/3</x:f>
        <x:v>0.008549497606896791</x:v>
      </x:c>
    </x:row>
    <x:row r="51">
      <x:c r="A51" s="12"/>
      <x:c r="B51" s="13"/>
      <x:c r="C51" s="13"/>
      <x:c r="D51" s="13"/>
      <x:c r="E51" s="13"/>
      <x:c r="F51" s="13"/>
      <x:c r="G51" s="13"/>
      <x:c r="H51" s="13" t="str">
        <x:v>CR</x:v>
      </x:c>
      <x:c r="I51" s="13" t="n">
        <x:f>I50/0.9</x:f>
        <x:v>0.009499441785440878</x:v>
      </x:c>
    </x:row>
    <x:row r="52">
      <x:c r="A52" s="12"/>
      <x:c r="B52" s="13"/>
      <x:c r="C52" s="13"/>
      <x:c r="D52" s="13"/>
      <x:c r="E52" s="13"/>
      <x:c r="F52" s="13"/>
      <x:c r="G52" s="13"/>
      <x:c r="H52" s="13"/>
      <x:c r="I52" s="13"/>
    </x:row>
    <x:row r="53">
      <x:c r="A53" s="12"/>
      <x:c r="B53" s="13"/>
      <x:c r="C53" s="13"/>
      <x:c r="D53" s="13"/>
      <x:c r="E53" s="13"/>
      <x:c r="F53" s="13"/>
      <x:c r="G53" s="13"/>
      <x:c r="H53" s="13"/>
      <x:c r="I53" s="13"/>
    </x:row>
    <x:row r="54">
      <x:c r="A54" s="12"/>
      <x:c r="B54" s="13"/>
      <x:c r="C54" s="13"/>
      <x:c r="D54" s="13"/>
      <x:c r="E54" s="13"/>
      <x:c r="F54" s="13"/>
      <x:c r="G54" s="13"/>
      <x:c r="H54" s="13"/>
      <x:c r="I54" s="13"/>
    </x:row>
    <x:row r="55">
      <x:c r="A55" s="11" t="str">
        <x:v>Альтернатива</x:v>
      </x:c>
      <x:c r="B55" s="14" t="str">
        <x:v>По C1</x:v>
      </x:c>
      <x:c r="C55" s="14" t="str">
        <x:v>По C2</x:v>
      </x:c>
      <x:c r="D55" s="14" t="str">
        <x:v>По C3</x:v>
      </x:c>
      <x:c r="E55" s="14" t="str">
        <x:v>По C4</x:v>
      </x:c>
      <x:c r="F55" s="14" t="str">
        <x:v>Глобальный вес</x:v>
      </x:c>
      <x:c r="G55" s="14" t="str">
        <x:v>Место</x:v>
      </x:c>
      <x:c r="H55" s="13"/>
      <x:c r="I55" s="13"/>
    </x:row>
    <x:row r="56">
      <x:c r="A56" s="12" t="str">
        <x:v>A1</x:v>
      </x:c>
      <x:c r="B56" s="13" t="n">
        <x:f>G15</x:f>
        <x:v>0.19259070878133588</x:v>
      </x:c>
      <x:c r="C56" s="13" t="n">
        <x:f>G25</x:f>
        <x:v>0.1564352183077154</x:v>
      </x:c>
      <x:c r="D56" s="13" t="n">
        <x:f>G35</x:f>
        <x:v>0.2965087300100307</x:v>
      </x:c>
      <x:c r="E56" s="13" t="n">
        <x:f>G45</x:f>
        <x:v>0.24595554429057037</x:v>
      </x:c>
      <x:c r="F56" s="13" t="n">
        <x:f>$G$5*B56+$G$6*C56+$G$7*D56+$G$8*E56</x:f>
        <x:v>0.20940409514677907</x:v>
      </x:c>
      <x:c r="G56" s="15" t="n">
        <x:f>RANK(F56,$F$56:$F$59,0)</x:f>
        <x:v>4</x:v>
      </x:c>
      <x:c r="H56" s="13"/>
      <x:c r="I56" s="13"/>
    </x:row>
    <x:row r="57">
      <x:c r="A57" s="12" t="str">
        <x:v>A2</x:v>
      </x:c>
      <x:c r="B57" s="13" t="n">
        <x:f>G16</x:f>
        <x:v>0.22494904790434353</x:v>
      </x:c>
      <x:c r="C57" s="13" t="n">
        <x:f>G26</x:f>
        <x:v>0.3551346490288984</x:v>
      </x:c>
      <x:c r="D57" s="13" t="n">
        <x:f>G36</x:f>
        <x:v>0.138867947419908</x:v>
      </x:c>
      <x:c r="E57" s="13" t="n">
        <x:f>G46</x:f>
        <x:v>0.1297934075073511</x:v>
      </x:c>
      <x:c r="F57" s="13" t="n">
        <x:f>$G$5*B57+$G$6*C57+$G$7*D57+$G$8*E57</x:f>
        <x:v>0.2277835217913446</x:v>
      </x:c>
      <x:c r="G57" s="15" t="n">
        <x:f>RANK(F57,$F$56:$F$59,0)</x:f>
        <x:v>3</x:v>
      </x:c>
      <x:c r="H57" s="13"/>
      <x:c r="I57" s="13"/>
    </x:row>
    <x:row r="58">
      <x:c r="A58" s="12" t="str">
        <x:v>A3</x:v>
      </x:c>
      <x:c r="B58" s="13" t="n">
        <x:f>G17</x:f>
        <x:v>0.32629082416151556</x:v>
      </x:c>
      <x:c r="C58" s="13" t="n">
        <x:f>G27</x:f>
        <x:v>0.278814572847857</x:v>
      </x:c>
      <x:c r="D58" s="13" t="n">
        <x:f>G37</x:f>
        <x:v>0.33766077184156335</x:v>
      </x:c>
      <x:c r="E58" s="13" t="n">
        <x:f>G47</x:f>
        <x:v>0.2800913784934977</x:v>
      </x:c>
      <x:c r="F58" s="13" t="n">
        <x:f>$G$5*B58+$G$6*C58+$G$7*D58+$G$8*E58</x:f>
        <x:v>0.3011830787131089</x:v>
      </x:c>
      <x:c r="G58" s="15" t="n">
        <x:f>RANK(F58,$F$56:$F$59,0)</x:f>
        <x:v>1</x:v>
      </x:c>
      <x:c r="H58" s="13"/>
      <x:c r="I58" s="13"/>
    </x:row>
    <x:row r="59">
      <x:c r="A59" s="12" t="str">
        <x:v>A4</x:v>
      </x:c>
      <x:c r="B59" s="13" t="n">
        <x:f>G18</x:f>
        <x:v>0.256169419152805</x:v>
      </x:c>
      <x:c r="C59" s="13" t="n">
        <x:f>G28</x:f>
        <x:v>0.20961555981552923</x:v>
      </x:c>
      <x:c r="D59" s="13" t="n">
        <x:f>G38</x:f>
        <x:v>0.22696255072849794</x:v>
      </x:c>
      <x:c r="E59" s="13" t="n">
        <x:f>G48</x:f>
        <x:v>0.34415966970858086</x:v>
      </x:c>
      <x:c r="F59" s="13" t="n">
        <x:f>$G$5*B59+$G$6*C59+$G$7*D59+$G$8*E59</x:f>
        <x:v>0.2616293043487676</x:v>
      </x:c>
      <x:c r="G59" s="15" t="n">
        <x:f>RANK(F59,$F$56:$F$59,0)</x:f>
        <x:v>2</x:v>
      </x:c>
      <x:c r="H59" s="13"/>
      <x:c r="I59" s="13"/>
    </x:row>
    <x:row r="62">
      <x:c r="A62" s="4" t="str">
        <x:v>Согласованность парных сравнений (CR &lt; 0,10)</x:v>
      </x:c>
      <x:c r="B62" s="4"/>
      <x:c r="C62" s="4"/>
      <x:c r="D62" s="4"/>
      <x:c r="E62" s="4"/>
      <x:c r="F62" s="4"/>
      <x:c r="G62" s="4"/>
    </x:row>
    <x:row r="63">
      <x:c r="A63" s="8" t="str">
        <x:v>Матрица</x:v>
      </x:c>
      <x:c r="B63" s="8" t="str">
        <x:v>Роман Иванин</x:v>
      </x:c>
      <x:c r="C63" s="8" t="str">
        <x:v>Баулин Евгений</x:v>
      </x:c>
      <x:c r="D63" s="8" t="str">
        <x:v>Миленин Никита</x:v>
      </x:c>
      <x:c r="E63" s="8" t="str">
        <x:v>Соу Мамаду</x:v>
      </x:c>
      <x:c r="F63" s="8" t="str">
        <x:v>Группа</x:v>
      </x:c>
      <x:c r="G63" s="8" t="str">
        <x:v>Макс. CR</x:v>
      </x:c>
    </x:row>
    <x:row r="64">
      <x:c r="A64" t="str">
        <x:v>Критерии</x:v>
      </x:c>
      <x:c r="B64" s="5" t="n">
        <x:f>I80</x:f>
        <x:v>0</x:v>
      </x:c>
      <x:c r="C64" s="5" t="n">
        <x:f>I90</x:f>
        <x:v>0.003835657950578974</x:v>
      </x:c>
      <x:c r="D64" s="5" t="n">
        <x:f>I100</x:f>
        <x:v>0.003835657950578974</x:v>
      </x:c>
      <x:c r="E64" s="5" t="n">
        <x:f>I110</x:f>
        <x:v>0.007627513477776028</x:v>
      </x:c>
      <x:c r="F64" s="5" t="n">
        <x:f>I11</x:f>
        <x:v>0.0013907433679517646</x:v>
      </x:c>
      <x:c r="G64" s="5" t="n">
        <x:f>MAX(B64:F64)</x:f>
        <x:v>0.007627513477776028</x:v>
      </x:c>
    </x:row>
    <x:row r="65">
      <x:c r="A65" t="str">
        <x:v>C1 Полезность</x:v>
      </x:c>
      <x:c r="B65" s="5" t="n">
        <x:f>I120</x:f>
        <x:v>0.02238282079494301</x:v>
      </x:c>
      <x:c r="C65" s="5" t="n">
        <x:f>I130</x:f>
        <x:v>0.01692292194386302</x:v>
      </x:c>
      <x:c r="D65" s="5" t="n">
        <x:f>I140</x:f>
        <x:v>0</x:v>
      </x:c>
      <x:c r="E65" s="5" t="n">
        <x:f>I150</x:f>
        <x:v>0.02238282079494301</x:v>
      </x:c>
      <x:c r="F65" s="5" t="n">
        <x:f>I21</x:f>
        <x:v>0.01105452596306846</x:v>
      </x:c>
      <x:c r="G65" s="5" t="n">
        <x:f>MAX(B65:F65)</x:f>
        <x:v>0.02238282079494301</x:v>
      </x:c>
    </x:row>
    <x:row r="66">
      <x:c r="A66" t="str">
        <x:v>C2 Реализуемость</x:v>
      </x:c>
      <x:c r="B66" s="5" t="n">
        <x:f>I160</x:f>
        <x:v>0.016922921943863346</x:v>
      </x:c>
      <x:c r="C66" s="5" t="n">
        <x:f>I170</x:f>
        <x:v>0.02238282079494301</x:v>
      </x:c>
      <x:c r="D66" s="5" t="n">
        <x:f>I180</x:f>
        <x:v>0.003835657950579303</x:v>
      </x:c>
      <x:c r="E66" s="5" t="n">
        <x:f>I190</x:f>
        <x:v>0.02238282079494301</x:v>
      </x:c>
      <x:c r="F66" s="5" t="n">
        <x:f>I31</x:f>
        <x:v>0.011535341011092909</x:v>
      </x:c>
      <x:c r="G66" s="5" t="n">
        <x:f>MAX(B66:F66)</x:f>
        <x:v>0.02238282079494301</x:v>
      </x:c>
    </x:row>
    <x:row r="67">
      <x:c r="A67" t="str">
        <x:v>C3 Ясность сценариев</x:v>
      </x:c>
      <x:c r="B67" s="5" t="n">
        <x:f>I200</x:f>
        <x:v>0.003835657950579303</x:v>
      </x:c>
      <x:c r="C67" s="5" t="n">
        <x:f>I210</x:f>
        <x:v>0.016922921943863346</x:v>
      </x:c>
      <x:c r="D67" s="5" t="n">
        <x:f>I220</x:f>
        <x:v>0.007627513477775699</x:v>
      </x:c>
      <x:c r="E67" s="5" t="n">
        <x:f>I230</x:f>
        <x:v>0.02238282079494301</x:v>
      </x:c>
      <x:c r="F67" s="5" t="n">
        <x:f>I41</x:f>
        <x:v>0.003979078518439039</x:v>
      </x:c>
      <x:c r="G67" s="5" t="n">
        <x:f>MAX(B67:F67)</x:f>
        <x:v>0.02238282079494301</x:v>
      </x:c>
    </x:row>
    <x:row r="68">
      <x:c r="A68" t="str">
        <x:v>C4 Пригодность для планирования</x:v>
      </x:c>
      <x:c r="B68" s="5" t="n">
        <x:f>I240</x:f>
        <x:v>0.016922921943863346</x:v>
      </x:c>
      <x:c r="C68" s="5" t="n">
        <x:f>I250</x:f>
        <x:v>0</x:v>
      </x:c>
      <x:c r="D68" s="5" t="n">
        <x:f>I260</x:f>
        <x:v>0.016922921943863346</x:v>
      </x:c>
      <x:c r="E68" s="5" t="n">
        <x:f>I270</x:f>
        <x:v>0.016922921943863346</x:v>
      </x:c>
      <x:c r="F68" s="5" t="n">
        <x:f>I51</x:f>
        <x:v>0.009499441785440878</x:v>
      </x:c>
      <x:c r="G68" s="5" t="n">
        <x:f>MAX(B68:F68)</x:f>
        <x:v>0.016922921943863346</x:v>
      </x:c>
    </x:row>
    <x:row r="72">
      <x:c r="A72" s="4" t="str">
        <x:v>Критерии — Роман Иванин</x:v>
      </x:c>
      <x:c r="B72" s="4"/>
      <x:c r="C72" s="4"/>
      <x:c r="D72" s="4"/>
      <x:c r="E72" s="4"/>
      <x:c r="F72" s="4"/>
      <x:c r="G72" s="4"/>
      <x:c r="H72" s="4"/>
      <x:c r="I72" s="4"/>
    </x:row>
    <x:row r="73">
      <x:c r="A73" s="8" t="str">
        <x:v>Элемент</x:v>
      </x:c>
      <x:c r="B73" s="8" t="str">
        <x:v>C1</x:v>
      </x:c>
      <x:c r="C73" s="8" t="str">
        <x:v>C2</x:v>
      </x:c>
      <x:c r="D73" s="8" t="str">
        <x:v>C3</x:v>
      </x:c>
      <x:c r="E73" s="8" t="str">
        <x:v>C4</x:v>
      </x:c>
      <x:c r="F73" s="8" t="str">
        <x:v>Геом. ср.</x:v>
      </x:c>
      <x:c r="G73" s="8" t="str">
        <x:v>Приоритет</x:v>
      </x:c>
      <x:c r="H73" s="8" t="str">
        <x:v>Aw</x:v>
      </x:c>
      <x:c r="I73" s="8" t="str">
        <x:v>Aw/w</x:v>
      </x:c>
    </x:row>
    <x:row r="74">
      <x:c r="A74" t="str">
        <x:v>C1 Полезность</x:v>
      </x:c>
      <x:c r="B74" s="5" t="n">
        <x:v>1</x:v>
      </x:c>
      <x:c r="C74" s="5" t="n">
        <x:f>'Оценки'!D41</x:f>
        <x:v>1</x:v>
      </x:c>
      <x:c r="D74" s="5" t="n">
        <x:f>'Оценки'!D42</x:f>
        <x:v>2</x:v>
      </x:c>
      <x:c r="E74" s="5" t="n">
        <x:f>'Оценки'!D43</x:f>
        <x:v>1</x:v>
      </x:c>
      <x:c r="F74" s="5" t="n">
        <x:f>PRODUCT(B74:E74)^(1/4)</x:f>
        <x:v>1.189207115002721</x:v>
      </x:c>
      <x:c r="G74" s="5" t="n">
        <x:f>F74/SUM($F$74:$F$77)</x:f>
        <x:v>0.28571428571428575</x:v>
      </x:c>
      <x:c r="H74" s="5" t="n">
        <x:f>B74*$G$74+C74*$G$75+D74*$G$76+E74*$G$77</x:f>
        <x:v>1.142857142857143</x:v>
      </x:c>
      <x:c r="I74" s="5" t="n">
        <x:f>H74/G74</x:f>
        <x:v>4</x:v>
      </x:c>
    </x:row>
    <x:row r="75">
      <x:c r="A75" t="str">
        <x:v>C2 Реализуемость</x:v>
      </x:c>
      <x:c r="B75" s="5" t="n">
        <x:f>1/C74</x:f>
        <x:v>1</x:v>
      </x:c>
      <x:c r="C75" s="5" t="n">
        <x:v>1</x:v>
      </x:c>
      <x:c r="D75" s="5" t="n">
        <x:f>'Оценки'!D44</x:f>
        <x:v>2</x:v>
      </x:c>
      <x:c r="E75" s="5" t="n">
        <x:f>'Оценки'!D45</x:f>
        <x:v>1</x:v>
      </x:c>
      <x:c r="F75" s="5" t="n">
        <x:f>PRODUCT(B75:E75)^(1/4)</x:f>
        <x:v>1.189207115002721</x:v>
      </x:c>
      <x:c r="G75" s="5" t="n">
        <x:f>F75/SUM($F$74:$F$77)</x:f>
        <x:v>0.28571428571428575</x:v>
      </x:c>
      <x:c r="H75" s="5" t="n">
        <x:f>B75*$G$74+C75*$G$75+D75*$G$76+E75*$G$77</x:f>
        <x:v>1.142857142857143</x:v>
      </x:c>
      <x:c r="I75" s="5" t="n">
        <x:f>H75/G75</x:f>
        <x:v>4</x:v>
      </x:c>
    </x:row>
    <x:row r="76">
      <x:c r="A76" t="str">
        <x:v>C3 Ясность сценариев</x:v>
      </x:c>
      <x:c r="B76" s="5" t="n">
        <x:f>1/D74</x:f>
        <x:v>0.5</x:v>
      </x:c>
      <x:c r="C76" s="5" t="n">
        <x:f>1/D75</x:f>
        <x:v>0.5</x:v>
      </x:c>
      <x:c r="D76" s="5" t="n">
        <x:v>1</x:v>
      </x:c>
      <x:c r="E76" s="5" t="n">
        <x:f>'Оценки'!D46</x:f>
        <x:v>0.5</x:v>
      </x:c>
      <x:c r="F76" s="5" t="n">
        <x:f>PRODUCT(B76:E76)^(1/4)</x:f>
        <x:v>0.5946035575013605</x:v>
      </x:c>
      <x:c r="G76" s="5" t="n">
        <x:f>F76/SUM($F$74:$F$77)</x:f>
        <x:v>0.14285714285714288</x:v>
      </x:c>
      <x:c r="H76" s="5" t="n">
        <x:f>B76*$G$74+C76*$G$75+D76*$G$76+E76*$G$77</x:f>
        <x:v>0.5714285714285715</x:v>
      </x:c>
      <x:c r="I76" s="5" t="n">
        <x:f>H76/G76</x:f>
        <x:v>4</x:v>
      </x:c>
    </x:row>
    <x:row r="77">
      <x:c r="A77" t="str">
        <x:v>C4 Пригодность для планирования</x:v>
      </x:c>
      <x:c r="B77" s="5" t="n">
        <x:f>1/E74</x:f>
        <x:v>1</x:v>
      </x:c>
      <x:c r="C77" s="5" t="n">
        <x:f>1/E75</x:f>
        <x:v>1</x:v>
      </x:c>
      <x:c r="D77" s="5" t="n">
        <x:f>1/E76</x:f>
        <x:v>2</x:v>
      </x:c>
      <x:c r="E77" s="5" t="n">
        <x:v>1</x:v>
      </x:c>
      <x:c r="F77" s="5" t="n">
        <x:f>PRODUCT(B77:E77)^(1/4)</x:f>
        <x:v>1.189207115002721</x:v>
      </x:c>
      <x:c r="G77" s="5" t="n">
        <x:f>F77/SUM($F$74:$F$77)</x:f>
        <x:v>0.28571428571428575</x:v>
      </x:c>
      <x:c r="H77" s="5" t="n">
        <x:f>B77*$G$74+C77*$G$75+D77*$G$76+E77*$G$77</x:f>
        <x:v>1.142857142857143</x:v>
      </x:c>
      <x:c r="I77" s="5" t="n">
        <x:f>H77/G77</x:f>
        <x:v>4</x:v>
      </x:c>
    </x:row>
    <x:row r="78">
      <x:c r="B78" s="5"/>
      <x:c r="C78" s="5"/>
      <x:c r="D78" s="5"/>
      <x:c r="E78" s="5"/>
      <x:c r="F78" s="5"/>
      <x:c r="G78" s="5"/>
      <x:c r="H78" s="5" t="str">
        <x:v>λmax</x:v>
      </x:c>
      <x:c r="I78" s="5" t="n">
        <x:f>AVERAGE(I74:I77)</x:f>
        <x:v>4</x:v>
      </x:c>
    </x:row>
    <x:row r="79">
      <x:c r="B79" s="5"/>
      <x:c r="C79" s="5"/>
      <x:c r="D79" s="5"/>
      <x:c r="E79" s="5"/>
      <x:c r="F79" s="5"/>
      <x:c r="G79" s="5"/>
      <x:c r="H79" s="5" t="str">
        <x:v>CI</x:v>
      </x:c>
      <x:c r="I79" s="5" t="n">
        <x:f>(I78-4)/3</x:f>
        <x:v>0</x:v>
      </x:c>
    </x:row>
    <x:row r="80">
      <x:c r="B80" s="5"/>
      <x:c r="C80" s="5"/>
      <x:c r="D80" s="5"/>
      <x:c r="E80" s="5"/>
      <x:c r="F80" s="5"/>
      <x:c r="G80" s="5"/>
      <x:c r="H80" s="5" t="str">
        <x:v>CR</x:v>
      </x:c>
      <x:c r="I80" s="5" t="n">
        <x:f>I79/0.9</x:f>
        <x:v>0</x:v>
      </x:c>
    </x:row>
    <x:row r="82">
      <x:c r="A82" s="4" t="str">
        <x:v>Критерии — Баулин Евгений</x:v>
      </x:c>
      <x:c r="B82" s="4"/>
      <x:c r="C82" s="4"/>
      <x:c r="D82" s="4"/>
      <x:c r="E82" s="4"/>
      <x:c r="F82" s="4"/>
      <x:c r="G82" s="4"/>
      <x:c r="H82" s="4"/>
      <x:c r="I82" s="4"/>
    </x:row>
    <x:row r="83">
      <x:c r="A83" s="8" t="str">
        <x:v>Элемент</x:v>
      </x:c>
      <x:c r="B83" s="8" t="str">
        <x:v>C1</x:v>
      </x:c>
      <x:c r="C83" s="8" t="str">
        <x:v>C2</x:v>
      </x:c>
      <x:c r="D83" s="8" t="str">
        <x:v>C3</x:v>
      </x:c>
      <x:c r="E83" s="8" t="str">
        <x:v>C4</x:v>
      </x:c>
      <x:c r="F83" s="8" t="str">
        <x:v>Геом. ср.</x:v>
      </x:c>
      <x:c r="G83" s="8" t="str">
        <x:v>Приоритет</x:v>
      </x:c>
      <x:c r="H83" s="8" t="str">
        <x:v>Aw</x:v>
      </x:c>
      <x:c r="I83" s="8" t="str">
        <x:v>Aw/w</x:v>
      </x:c>
    </x:row>
    <x:row r="84">
      <x:c r="A84" t="str">
        <x:v>C1 Полезность</x:v>
      </x:c>
      <x:c r="B84" s="5" t="n">
        <x:v>1</x:v>
      </x:c>
      <x:c r="C84" s="5" t="n">
        <x:f>'Оценки'!E41</x:f>
        <x:v>2</x:v>
      </x:c>
      <x:c r="D84" s="5" t="n">
        <x:f>'Оценки'!E42</x:f>
        <x:v>3</x:v>
      </x:c>
      <x:c r="E84" s="5" t="n">
        <x:f>'Оценки'!E43</x:f>
        <x:v>2</x:v>
      </x:c>
      <x:c r="F84" s="5" t="n">
        <x:f>PRODUCT(B84:E84)^(1/4)</x:f>
        <x:v>1.8612097182041991</x:v>
      </x:c>
      <x:c r="G84" s="5" t="n">
        <x:f>F84/SUM($F$84:$F$87)</x:f>
        <x:v>0.42314697456051914</x:v>
      </x:c>
      <x:c r="H84" s="5" t="n">
        <x:f>B84*$G$84+C84*$G$85+D84*$G$86+E84*$G$87</x:f>
        <x:v>1.6990050352741264</x:v>
      </x:c>
      <x:c r="I84" s="5" t="n">
        <x:f>H84/G84</x:f>
        <x:v>4.015165267431522</x:v>
      </x:c>
    </x:row>
    <x:row r="85">
      <x:c r="A85" t="str">
        <x:v>C2 Реализуемость</x:v>
      </x:c>
      <x:c r="B85" s="5" t="n">
        <x:f>1/C84</x:f>
        <x:v>0.5</x:v>
      </x:c>
      <x:c r="C85" s="5" t="n">
        <x:v>1</x:v>
      </x:c>
      <x:c r="D85" s="5" t="n">
        <x:f>'Оценки'!E44</x:f>
        <x:v>2</x:v>
      </x:c>
      <x:c r="E85" s="5" t="n">
        <x:f>'Оценки'!E45</x:f>
        <x:v>1</x:v>
      </x:c>
      <x:c r="F85" s="5" t="n">
        <x:f>PRODUCT(B85:E85)^(1/4)</x:f>
        <x:v>1</x:v>
      </x:c>
      <x:c r="G85" s="5" t="n">
        <x:f>F85/SUM($F$84:$F$87)</x:f>
        <x:v>0.22735050780241753</x:v>
      </x:c>
      <x:c r="H85" s="5" t="n">
        <x:f>B85*$G$84+C85*$G$85+D85*$G$86+E85*$G$87</x:f>
        <x:v>0.9105785225543861</x:v>
      </x:c>
      <x:c r="I85" s="5" t="n">
        <x:f>H85/G85</x:f>
        <x:v>4.005174790925642</x:v>
      </x:c>
    </x:row>
    <x:row r="86">
      <x:c r="A86" t="str">
        <x:v>C3 Ясность сценариев</x:v>
      </x:c>
      <x:c r="B86" s="5" t="n">
        <x:f>1/D84</x:f>
        <x:v>0.3333333333333333</x:v>
      </x:c>
      <x:c r="C86" s="5" t="n">
        <x:f>1/D85</x:f>
        <x:v>0.5</x:v>
      </x:c>
      <x:c r="D86" s="5" t="n">
        <x:v>1</x:v>
      </x:c>
      <x:c r="E86" s="5" t="n">
        <x:f>'Оценки'!E46</x:f>
        <x:v>0.5</x:v>
      </x:c>
      <x:c r="F86" s="5" t="n">
        <x:f>PRODUCT(B86:E86)^(1/4)</x:f>
        <x:v>0.537284965911771</x:v>
      </x:c>
      <x:c r="G86" s="5" t="n">
        <x:f>F86/SUM($F$84:$F$87)</x:f>
        <x:v>0.12215200983464573</x:v>
      </x:c>
      <x:c r="H86" s="5" t="n">
        <x:f>B86*$G$84+C86*$G$85+D86*$G$86+E86*$G$87</x:f>
        <x:v>0.4905515091572363</x:v>
      </x:c>
      <x:c r="I86" s="5" t="n">
        <x:f>H86/G86</x:f>
        <x:v>4.01591025658345</x:v>
      </x:c>
    </x:row>
    <x:row r="87">
      <x:c r="A87" t="str">
        <x:v>C4 Пригодность для планирования</x:v>
      </x:c>
      <x:c r="B87" s="5" t="n">
        <x:f>1/E84</x:f>
        <x:v>0.5</x:v>
      </x:c>
      <x:c r="C87" s="5" t="n">
        <x:f>1/E85</x:f>
        <x:v>1</x:v>
      </x:c>
      <x:c r="D87" s="5" t="n">
        <x:f>1/E86</x:f>
        <x:v>2</x:v>
      </x:c>
      <x:c r="E87" s="5" t="n">
        <x:v>1</x:v>
      </x:c>
      <x:c r="F87" s="5" t="n">
        <x:f>PRODUCT(B87:E87)^(1/4)</x:f>
        <x:v>1</x:v>
      </x:c>
      <x:c r="G87" s="5" t="n">
        <x:f>F87/SUM($F$84:$F$87)</x:f>
        <x:v>0.22735050780241753</x:v>
      </x:c>
      <x:c r="H87" s="5" t="n">
        <x:f>B87*$G$84+C87*$G$85+D87*$G$86+E87*$G$87</x:f>
        <x:v>0.9105785225543861</x:v>
      </x:c>
      <x:c r="I87" s="5" t="n">
        <x:f>H87/G87</x:f>
        <x:v>4.005174790925642</x:v>
      </x:c>
    </x:row>
    <x:row r="88">
      <x:c r="B88" s="5"/>
      <x:c r="C88" s="5"/>
      <x:c r="D88" s="5"/>
      <x:c r="E88" s="5"/>
      <x:c r="F88" s="5"/>
      <x:c r="G88" s="5"/>
      <x:c r="H88" s="5" t="str">
        <x:v>λmax</x:v>
      </x:c>
      <x:c r="I88" s="5" t="n">
        <x:f>AVERAGE(I84:I87)</x:f>
        <x:v>4.010356276466563</x:v>
      </x:c>
    </x:row>
    <x:row r="89">
      <x:c r="B89" s="5"/>
      <x:c r="C89" s="5"/>
      <x:c r="D89" s="5"/>
      <x:c r="E89" s="5"/>
      <x:c r="F89" s="5"/>
      <x:c r="G89" s="5"/>
      <x:c r="H89" s="5" t="str">
        <x:v>CI</x:v>
      </x:c>
      <x:c r="I89" s="5" t="n">
        <x:f>(I88-4)/3</x:f>
        <x:v>0.003452092155521077</x:v>
      </x:c>
    </x:row>
    <x:row r="90">
      <x:c r="B90" s="5"/>
      <x:c r="C90" s="5"/>
      <x:c r="D90" s="5"/>
      <x:c r="E90" s="5"/>
      <x:c r="F90" s="5"/>
      <x:c r="G90" s="5"/>
      <x:c r="H90" s="5" t="str">
        <x:v>CR</x:v>
      </x:c>
      <x:c r="I90" s="5" t="n">
        <x:f>I89/0.9</x:f>
        <x:v>0.003835657950578974</x:v>
      </x:c>
    </x:row>
    <x:row r="92">
      <x:c r="A92" s="4" t="str">
        <x:v>Критерии — Миленин Никита</x:v>
      </x:c>
      <x:c r="B92" s="4"/>
      <x:c r="C92" s="4"/>
      <x:c r="D92" s="4"/>
      <x:c r="E92" s="4"/>
      <x:c r="F92" s="4"/>
      <x:c r="G92" s="4"/>
      <x:c r="H92" s="4"/>
      <x:c r="I92" s="4"/>
    </x:row>
    <x:row r="93">
      <x:c r="A93" s="8" t="str">
        <x:v>Элемент</x:v>
      </x:c>
      <x:c r="B93" s="8" t="str">
        <x:v>C1</x:v>
      </x:c>
      <x:c r="C93" s="8" t="str">
        <x:v>C2</x:v>
      </x:c>
      <x:c r="D93" s="8" t="str">
        <x:v>C3</x:v>
      </x:c>
      <x:c r="E93" s="8" t="str">
        <x:v>C4</x:v>
      </x:c>
      <x:c r="F93" s="8" t="str">
        <x:v>Геом. ср.</x:v>
      </x:c>
      <x:c r="G93" s="8" t="str">
        <x:v>Приоритет</x:v>
      </x:c>
      <x:c r="H93" s="8" t="str">
        <x:v>Aw</x:v>
      </x:c>
      <x:c r="I93" s="8" t="str">
        <x:v>Aw/w</x:v>
      </x:c>
    </x:row>
    <x:row r="94">
      <x:c r="A94" t="str">
        <x:v>C1 Полезность</x:v>
      </x:c>
      <x:c r="B94" s="5" t="n">
        <x:v>1</x:v>
      </x:c>
      <x:c r="C94" s="5" t="n">
        <x:f>'Оценки'!F41</x:f>
        <x:v>0.5</x:v>
      </x:c>
      <x:c r="D94" s="5" t="n">
        <x:f>'Оценки'!F42</x:f>
        <x:v>2</x:v>
      </x:c>
      <x:c r="E94" s="5" t="n">
        <x:f>'Оценки'!F43</x:f>
        <x:v>1</x:v>
      </x:c>
      <x:c r="F94" s="5" t="n">
        <x:f>PRODUCT(B94:E94)^(1/4)</x:f>
        <x:v>1</x:v>
      </x:c>
      <x:c r="G94" s="5" t="n">
        <x:f>F94/SUM($F$94:$F$97)</x:f>
        <x:v>0.22735050780241753</x:v>
      </x:c>
      <x:c r="H94" s="5" t="n">
        <x:f>B94*$G$94+C94*$G$95+D94*$G$96+E94*$G$97</x:f>
        <x:v>0.9105785225543861</x:v>
      </x:c>
      <x:c r="I94" s="5" t="n">
        <x:f>H94/G94</x:f>
        <x:v>4.005174790925642</x:v>
      </x:c>
    </x:row>
    <x:row r="95">
      <x:c r="A95" t="str">
        <x:v>C2 Реализуемость</x:v>
      </x:c>
      <x:c r="B95" s="5" t="n">
        <x:f>1/C94</x:f>
        <x:v>2</x:v>
      </x:c>
      <x:c r="C95" s="5" t="n">
        <x:v>1</x:v>
      </x:c>
      <x:c r="D95" s="5" t="n">
        <x:f>'Оценки'!F44</x:f>
        <x:v>3</x:v>
      </x:c>
      <x:c r="E95" s="5" t="n">
        <x:f>'Оценки'!F45</x:f>
        <x:v>2</x:v>
      </x:c>
      <x:c r="F95" s="5" t="n">
        <x:f>PRODUCT(B95:E95)^(1/4)</x:f>
        <x:v>1.8612097182041991</x:v>
      </x:c>
      <x:c r="G95" s="5" t="n">
        <x:f>F95/SUM($F$94:$F$97)</x:f>
        <x:v>0.42314697456051914</x:v>
      </x:c>
      <x:c r="H95" s="5" t="n">
        <x:f>B95*$G$94+C95*$G$95+D95*$G$96+E95*$G$97</x:f>
        <x:v>1.6990050352741264</x:v>
      </x:c>
      <x:c r="I95" s="5" t="n">
        <x:f>H95/G95</x:f>
        <x:v>4.015165267431522</x:v>
      </x:c>
    </x:row>
    <x:row r="96">
      <x:c r="A96" t="str">
        <x:v>C3 Ясность сценариев</x:v>
      </x:c>
      <x:c r="B96" s="5" t="n">
        <x:f>1/D94</x:f>
        <x:v>0.5</x:v>
      </x:c>
      <x:c r="C96" s="5" t="n">
        <x:f>1/D95</x:f>
        <x:v>0.3333333333333333</x:v>
      </x:c>
      <x:c r="D96" s="5" t="n">
        <x:v>1</x:v>
      </x:c>
      <x:c r="E96" s="5" t="n">
        <x:f>'Оценки'!F46</x:f>
        <x:v>0.5</x:v>
      </x:c>
      <x:c r="F96" s="5" t="n">
        <x:f>PRODUCT(B96:E96)^(1/4)</x:f>
        <x:v>0.537284965911771</x:v>
      </x:c>
      <x:c r="G96" s="5" t="n">
        <x:f>F96/SUM($F$94:$F$97)</x:f>
        <x:v>0.12215200983464573</x:v>
      </x:c>
      <x:c r="H96" s="5" t="n">
        <x:f>B96*$G$94+C96*$G$95+D96*$G$96+E96*$G$97</x:f>
        <x:v>0.4905515091572363</x:v>
      </x:c>
      <x:c r="I96" s="5" t="n">
        <x:f>H96/G96</x:f>
        <x:v>4.01591025658345</x:v>
      </x:c>
    </x:row>
    <x:row r="97">
      <x:c r="A97" t="str">
        <x:v>C4 Пригодность для планирования</x:v>
      </x:c>
      <x:c r="B97" s="5" t="n">
        <x:f>1/E94</x:f>
        <x:v>1</x:v>
      </x:c>
      <x:c r="C97" s="5" t="n">
        <x:f>1/E95</x:f>
        <x:v>0.5</x:v>
      </x:c>
      <x:c r="D97" s="5" t="n">
        <x:f>1/E96</x:f>
        <x:v>2</x:v>
      </x:c>
      <x:c r="E97" s="5" t="n">
        <x:v>1</x:v>
      </x:c>
      <x:c r="F97" s="5" t="n">
        <x:f>PRODUCT(B97:E97)^(1/4)</x:f>
        <x:v>1</x:v>
      </x:c>
      <x:c r="G97" s="5" t="n">
        <x:f>F97/SUM($F$94:$F$97)</x:f>
        <x:v>0.22735050780241753</x:v>
      </x:c>
      <x:c r="H97" s="5" t="n">
        <x:f>B97*$G$94+C97*$G$95+D97*$G$96+E97*$G$97</x:f>
        <x:v>0.9105785225543861</x:v>
      </x:c>
      <x:c r="I97" s="5" t="n">
        <x:f>H97/G97</x:f>
        <x:v>4.005174790925642</x:v>
      </x:c>
    </x:row>
    <x:row r="98">
      <x:c r="B98" s="5"/>
      <x:c r="C98" s="5"/>
      <x:c r="D98" s="5"/>
      <x:c r="E98" s="5"/>
      <x:c r="F98" s="5"/>
      <x:c r="G98" s="5"/>
      <x:c r="H98" s="5" t="str">
        <x:v>λmax</x:v>
      </x:c>
      <x:c r="I98" s="5" t="n">
        <x:f>AVERAGE(I94:I97)</x:f>
        <x:v>4.010356276466563</x:v>
      </x:c>
    </x:row>
    <x:row r="99">
      <x:c r="B99" s="5"/>
      <x:c r="C99" s="5"/>
      <x:c r="D99" s="5"/>
      <x:c r="E99" s="5"/>
      <x:c r="F99" s="5"/>
      <x:c r="G99" s="5"/>
      <x:c r="H99" s="5" t="str">
        <x:v>CI</x:v>
      </x:c>
      <x:c r="I99" s="5" t="n">
        <x:f>(I98-4)/3</x:f>
        <x:v>0.003452092155521077</x:v>
      </x:c>
    </x:row>
    <x:row r="100">
      <x:c r="B100" s="5"/>
      <x:c r="C100" s="5"/>
      <x:c r="D100" s="5"/>
      <x:c r="E100" s="5"/>
      <x:c r="F100" s="5"/>
      <x:c r="G100" s="5"/>
      <x:c r="H100" s="5" t="str">
        <x:v>CR</x:v>
      </x:c>
      <x:c r="I100" s="5" t="n">
        <x:f>I99/0.9</x:f>
        <x:v>0.003835657950578974</x:v>
      </x:c>
    </x:row>
    <x:row r="102">
      <x:c r="A102" s="4" t="str">
        <x:v>Критерии — Соу Мамаду</x:v>
      </x:c>
      <x:c r="B102" s="4"/>
      <x:c r="C102" s="4"/>
      <x:c r="D102" s="4"/>
      <x:c r="E102" s="4"/>
      <x:c r="F102" s="4"/>
      <x:c r="G102" s="4"/>
      <x:c r="H102" s="4"/>
      <x:c r="I102" s="4"/>
    </x:row>
    <x:row r="103">
      <x:c r="A103" s="8" t="str">
        <x:v>Элемент</x:v>
      </x:c>
      <x:c r="B103" s="8" t="str">
        <x:v>C1</x:v>
      </x:c>
      <x:c r="C103" s="8" t="str">
        <x:v>C2</x:v>
      </x:c>
      <x:c r="D103" s="8" t="str">
        <x:v>C3</x:v>
      </x:c>
      <x:c r="E103" s="8" t="str">
        <x:v>C4</x:v>
      </x:c>
      <x:c r="F103" s="8" t="str">
        <x:v>Геом. ср.</x:v>
      </x:c>
      <x:c r="G103" s="8" t="str">
        <x:v>Приоритет</x:v>
      </x:c>
      <x:c r="H103" s="8" t="str">
        <x:v>Aw</x:v>
      </x:c>
      <x:c r="I103" s="8" t="str">
        <x:v>Aw/w</x:v>
      </x:c>
    </x:row>
    <x:row r="104">
      <x:c r="A104" t="str">
        <x:v>C1 Полезность</x:v>
      </x:c>
      <x:c r="B104" s="5" t="n">
        <x:v>1</x:v>
      </x:c>
      <x:c r="C104" s="5" t="n">
        <x:f>'Оценки'!G41</x:f>
        <x:v>1</x:v>
      </x:c>
      <x:c r="D104" s="5" t="n">
        <x:f>'Оценки'!G42</x:f>
        <x:v>2</x:v>
      </x:c>
      <x:c r="E104" s="5" t="n">
        <x:f>'Оценки'!G43</x:f>
        <x:v>1</x:v>
      </x:c>
      <x:c r="F104" s="5" t="n">
        <x:f>PRODUCT(B104:E104)^(1/4)</x:f>
        <x:v>1.189207115002721</x:v>
      </x:c>
      <x:c r="G104" s="5" t="n">
        <x:f>F104/SUM($F$104:$F$107)</x:f>
        <x:v>0.28101863127026006</x:v>
      </x:c>
      <x:c r="H104" s="5" t="n">
        <x:f>B104*$G$104+C104*$G$105+D104*$G$106+E104*$G$107</x:f>
        <x:v>1.1269644991337515</x:v>
      </x:c>
      <x:c r="I104" s="5" t="n">
        <x:f>H104/G104</x:f>
        <x:v>4.010283923310166</x:v>
      </x:c>
    </x:row>
    <x:row r="105">
      <x:c r="A105" t="str">
        <x:v>C2 Реализуемость</x:v>
      </x:c>
      <x:c r="B105" s="5" t="n">
        <x:f>1/C104</x:f>
        <x:v>1</x:v>
      </x:c>
      <x:c r="C105" s="5" t="n">
        <x:v>1</x:v>
      </x:c>
      <x:c r="D105" s="5" t="n">
        <x:f>'Оценки'!G44</x:f>
        <x:v>2</x:v>
      </x:c>
      <x:c r="E105" s="5" t="n">
        <x:f>'Оценки'!G45</x:f>
        <x:v>1</x:v>
      </x:c>
      <x:c r="F105" s="5" t="n">
        <x:f>PRODUCT(B105:E105)^(1/4)</x:f>
        <x:v>1.189207115002721</x:v>
      </x:c>
      <x:c r="G105" s="5" t="n">
        <x:f>F105/SUM($F$104:$F$107)</x:f>
        <x:v>0.28101863127026006</x:v>
      </x:c>
      <x:c r="H105" s="5" t="n">
        <x:f>B105*$G$104+C105*$G$105+D105*$G$106+E105*$G$107</x:f>
        <x:v>1.1269644991337515</x:v>
      </x:c>
      <x:c r="I105" s="5" t="n">
        <x:f>H105/G105</x:f>
        <x:v>4.010283923310166</x:v>
      </x:c>
    </x:row>
    <x:row r="106">
      <x:c r="A106" t="str">
        <x:v>C3 Ясность сценариев</x:v>
      </x:c>
      <x:c r="B106" s="5" t="n">
        <x:f>1/D104</x:f>
        <x:v>0.5</x:v>
      </x:c>
      <x:c r="C106" s="5" t="n">
        <x:f>1/D105</x:f>
        <x:v>0.5</x:v>
      </x:c>
      <x:c r="D106" s="5" t="n">
        <x:v>1</x:v>
      </x:c>
      <x:c r="E106" s="5" t="n">
        <x:f>'Оценки'!G46</x:f>
        <x:v>0.3333333333333333</x:v>
      </x:c>
      <x:c r="F106" s="5" t="n">
        <x:f>PRODUCT(B106:E106)^(1/4)</x:f>
        <x:v>0.537284965911771</x:v>
      </x:c>
      <x:c r="G106" s="5" t="n">
        <x:f>F106/SUM($F$104:$F$107)</x:f>
        <x:v>0.1269644991337516</x:v>
      </x:c>
      <x:c r="H106" s="5" t="n">
        <x:f>B106*$G$104+C106*$G$105+D106*$G$106+E106*$G$107</x:f>
        <x:v>0.5116492098459211</x:v>
      </x:c>
      <x:c r="I106" s="5" t="n">
        <x:f>H106/G106</x:f>
        <x:v>4.02986042032837</x:v>
      </x:c>
    </x:row>
    <x:row r="107">
      <x:c r="A107" t="str">
        <x:v>C4 Пригодность для планирования</x:v>
      </x:c>
      <x:c r="B107" s="5" t="n">
        <x:f>1/E104</x:f>
        <x:v>1</x:v>
      </x:c>
      <x:c r="C107" s="5" t="n">
        <x:f>1/E105</x:f>
        <x:v>1</x:v>
      </x:c>
      <x:c r="D107" s="5" t="n">
        <x:f>1/E106</x:f>
        <x:v>3</x:v>
      </x:c>
      <x:c r="E107" s="5" t="n">
        <x:v>1</x:v>
      </x:c>
      <x:c r="F107" s="5" t="n">
        <x:f>PRODUCT(B107:E107)^(1/4)</x:f>
        <x:v>1.3160740129524924</x:v>
      </x:c>
      <x:c r="G107" s="5" t="n">
        <x:f>F107/SUM($F$104:$F$107)</x:f>
        <x:v>0.3109982383257282</x:v>
      </x:c>
      <x:c r="H107" s="5" t="n">
        <x:f>B107*$G$104+C107*$G$105+D107*$G$106+E107*$G$107</x:f>
        <x:v>1.253928998267503</x:v>
      </x:c>
      <x:c r="I107" s="5" t="n">
        <x:f>H107/G107</x:f>
        <x:v>4.031948878611279</x:v>
      </x:c>
    </x:row>
    <x:row r="108">
      <x:c r="B108" s="5"/>
      <x:c r="C108" s="5"/>
      <x:c r="D108" s="5"/>
      <x:c r="E108" s="5"/>
      <x:c r="F108" s="5"/>
      <x:c r="G108" s="5"/>
      <x:c r="H108" s="5" t="str">
        <x:v>λmax</x:v>
      </x:c>
      <x:c r="I108" s="5" t="n">
        <x:f>AVERAGE(I104:I107)</x:f>
        <x:v>4.020594286389995</x:v>
      </x:c>
    </x:row>
    <x:row r="109">
      <x:c r="B109" s="5"/>
      <x:c r="C109" s="5"/>
      <x:c r="D109" s="5"/>
      <x:c r="E109" s="5"/>
      <x:c r="F109" s="5"/>
      <x:c r="G109" s="5"/>
      <x:c r="H109" s="5" t="str">
        <x:v>CI</x:v>
      </x:c>
      <x:c r="I109" s="5" t="n">
        <x:f>(I108-4)/3</x:f>
        <x:v>0.006864762129998425</x:v>
      </x:c>
    </x:row>
    <x:row r="110">
      <x:c r="B110" s="5"/>
      <x:c r="C110" s="5"/>
      <x:c r="D110" s="5"/>
      <x:c r="E110" s="5"/>
      <x:c r="F110" s="5"/>
      <x:c r="G110" s="5"/>
      <x:c r="H110" s="5" t="str">
        <x:v>CR</x:v>
      </x:c>
      <x:c r="I110" s="5" t="n">
        <x:f>I109/0.9</x:f>
        <x:v>0.007627513477776028</x:v>
      </x:c>
    </x:row>
    <x:row r="112">
      <x:c r="A112" s="4" t="str">
        <x:v>C1 Полезность — Роман Иванин</x:v>
      </x:c>
      <x:c r="B112" s="4"/>
      <x:c r="C112" s="4"/>
      <x:c r="D112" s="4"/>
      <x:c r="E112" s="4"/>
      <x:c r="F112" s="4"/>
      <x:c r="G112" s="4"/>
      <x:c r="H112" s="4"/>
      <x:c r="I112" s="4"/>
    </x:row>
    <x:row r="113">
      <x:c r="A113" s="8" t="str">
        <x:v>Элемент</x:v>
      </x:c>
      <x:c r="B113" s="8" t="str">
        <x:v>A1</x:v>
      </x:c>
      <x:c r="C113" s="8" t="str">
        <x:v>A2</x:v>
      </x:c>
      <x:c r="D113" s="8" t="str">
        <x:v>A3</x:v>
      </x:c>
      <x:c r="E113" s="8" t="str">
        <x:v>A4</x:v>
      </x:c>
      <x:c r="F113" s="8" t="str">
        <x:v>Геом. ср.</x:v>
      </x:c>
      <x:c r="G113" s="8" t="str">
        <x:v>Приоритет</x:v>
      </x:c>
      <x:c r="H113" s="8" t="str">
        <x:v>Aw</x:v>
      </x:c>
      <x:c r="I113" s="8" t="str">
        <x:v>Aw/w</x:v>
      </x:c>
    </x:row>
    <x:row r="114">
      <x:c r="A114" t="str">
        <x:v>A1 Бронирование помещений</x:v>
      </x:c>
      <x:c r="B114" s="5" t="n">
        <x:v>1</x:v>
      </x:c>
      <x:c r="C114" s="5" t="n">
        <x:f>'Оценки'!D47</x:f>
        <x:v>1</x:v>
      </x:c>
      <x:c r="D114" s="5" t="n">
        <x:f>'Оценки'!D48</x:f>
        <x:v>0.5</x:v>
      </x:c>
      <x:c r="E114" s="5" t="n">
        <x:f>'Оценки'!D49</x:f>
        <x:v>1</x:v>
      </x:c>
      <x:c r="F114" s="5" t="n">
        <x:f>PRODUCT(B114:E114)^(1/4)</x:f>
        <x:v>0.8408964152537145</x:v>
      </x:c>
      <x:c r="G114" s="5" t="n">
        <x:f>F114/SUM($F$114:$F$117)</x:f>
        <x:v>0.20529665596111354</x:v>
      </x:c>
      <x:c r="H114" s="5" t="n">
        <x:f>B114*$G$114+C114*$G$115+D114*$G$116+E114*$G$117</x:f>
        <x:v>0.8273667779387246</x:v>
      </x:c>
      <x:c r="I114" s="5" t="n">
        <x:f>H114/G114</x:f>
        <x:v>4.030103530256436</x:v>
      </x:c>
    </x:row>
    <x:row r="115">
      <x:c r="A115" t="str">
        <x:v>A2 Учебные группы</x:v>
      </x:c>
      <x:c r="B115" s="5" t="n">
        <x:f>1/C114</x:f>
        <x:v>1</x:v>
      </x:c>
      <x:c r="C115" s="5" t="n">
        <x:v>1</x:v>
      </x:c>
      <x:c r="D115" s="5" t="n">
        <x:f>'Оценки'!D50</x:f>
        <x:v>0.5</x:v>
      </x:c>
      <x:c r="E115" s="5" t="n">
        <x:f>'Оценки'!D51</x:f>
        <x:v>1</x:v>
      </x:c>
      <x:c r="F115" s="5" t="n">
        <x:f>PRODUCT(B115:E115)^(1/4)</x:f>
        <x:v>0.8408964152537145</x:v>
      </x:c>
      <x:c r="G115" s="5" t="n">
        <x:f>F115/SUM($F$114:$F$117)</x:f>
        <x:v>0.20529665596111354</x:v>
      </x:c>
      <x:c r="H115" s="5" t="n">
        <x:f>B115*$G$114+C115*$G$115+D115*$G$116+E115*$G$117</x:f>
        <x:v>0.8273667779387246</x:v>
      </x:c>
      <x:c r="I115" s="5" t="n">
        <x:f>H115/G115</x:f>
        <x:v>4.030103530256436</x:v>
      </x:c>
    </x:row>
    <x:row r="116">
      <x:c r="A116" t="str">
        <x:v>A3 Студенческие события</x:v>
      </x:c>
      <x:c r="B116" s="5" t="n">
        <x:f>1/D114</x:f>
        <x:v>2</x:v>
      </x:c>
      <x:c r="C116" s="5" t="n">
        <x:f>1/D115</x:f>
        <x:v>2</x:v>
      </x:c>
      <x:c r="D116" s="5" t="n">
        <x:v>1</x:v>
      </x:c>
      <x:c r="E116" s="5" t="n">
        <x:f>'Оценки'!D52</x:f>
        <x:v>1</x:v>
      </x:c>
      <x:c r="F116" s="5" t="n">
        <x:f>PRODUCT(B116:E116)^(1/4)</x:f>
        <x:v>1.4142135623730951</x:v>
      </x:c>
      <x:c r="G116" s="5" t="n">
        <x:f>F116/SUM($F$114:$F$117)</x:f>
        <x:v>0.34526644412255103</x:v>
      </x:c>
      <x:c r="H116" s="5" t="n">
        <x:f>B116*$G$114+C116*$G$115+D116*$G$116+E116*$G$117</x:f>
        <x:v>1.4105933119222271</x:v>
      </x:c>
      <x:c r="I116" s="5" t="n">
        <x:f>H116/G116</x:f>
        <x:v>4.0855210111919895</x:v>
      </x:c>
    </x:row>
    <x:row r="117">
      <x:c r="A117" t="str">
        <x:v>A4 Волонтёрские смены</x:v>
      </x:c>
      <x:c r="B117" s="5" t="n">
        <x:f>1/E114</x:f>
        <x:v>1</x:v>
      </x:c>
      <x:c r="C117" s="5" t="n">
        <x:f>1/E115</x:f>
        <x:v>1</x:v>
      </x:c>
      <x:c r="D117" s="5" t="n">
        <x:f>1/E116</x:f>
        <x:v>1</x:v>
      </x:c>
      <x:c r="E117" s="5" t="n">
        <x:v>1</x:v>
      </x:c>
      <x:c r="F117" s="5" t="n">
        <x:f>PRODUCT(B117:E117)^(1/4)</x:f>
        <x:v>1</x:v>
      </x:c>
      <x:c r="G117" s="5" t="n">
        <x:f>F117/SUM($F$114:$F$117)</x:f>
        <x:v>0.24414024395522202</x:v>
      </x:c>
      <x:c r="H117" s="5" t="n">
        <x:f>B117*$G$114+C117*$G$115+D117*$G$116+E117*$G$117</x:f>
        <x:v>1.0000000000000002</x:v>
      </x:c>
      <x:c r="I117" s="5" t="n">
        <x:f>H117/G117</x:f>
        <x:v>4.096006392880525</x:v>
      </x:c>
    </x:row>
    <x:row r="118">
      <x:c r="B118" s="5"/>
      <x:c r="C118" s="5"/>
      <x:c r="D118" s="5"/>
      <x:c r="E118" s="5"/>
      <x:c r="F118" s="5"/>
      <x:c r="G118" s="5"/>
      <x:c r="H118" s="5" t="str">
        <x:v>λmax</x:v>
      </x:c>
      <x:c r="I118" s="5" t="n">
        <x:f>AVERAGE(I114:I117)</x:f>
        <x:v>4.060433616146346</x:v>
      </x:c>
    </x:row>
    <x:row r="119">
      <x:c r="B119" s="5"/>
      <x:c r="C119" s="5"/>
      <x:c r="D119" s="5"/>
      <x:c r="E119" s="5"/>
      <x:c r="F119" s="5"/>
      <x:c r="G119" s="5"/>
      <x:c r="H119" s="5" t="str">
        <x:v>CI</x:v>
      </x:c>
      <x:c r="I119" s="5" t="n">
        <x:f>(I118-4)/3</x:f>
        <x:v>0.020144538715448707</x:v>
      </x:c>
    </x:row>
    <x:row r="120">
      <x:c r="B120" s="5"/>
      <x:c r="C120" s="5"/>
      <x:c r="D120" s="5"/>
      <x:c r="E120" s="5"/>
      <x:c r="F120" s="5"/>
      <x:c r="G120" s="5"/>
      <x:c r="H120" s="5" t="str">
        <x:v>CR</x:v>
      </x:c>
      <x:c r="I120" s="5" t="n">
        <x:f>I119/0.9</x:f>
        <x:v>0.02238282079494301</x:v>
      </x:c>
    </x:row>
    <x:row r="122">
      <x:c r="A122" s="4" t="str">
        <x:v>C1 Полезность — Баулин Евгений</x:v>
      </x:c>
      <x:c r="B122" s="4"/>
      <x:c r="C122" s="4"/>
      <x:c r="D122" s="4"/>
      <x:c r="E122" s="4"/>
      <x:c r="F122" s="4"/>
      <x:c r="G122" s="4"/>
      <x:c r="H122" s="4"/>
      <x:c r="I122" s="4"/>
    </x:row>
    <x:row r="123">
      <x:c r="A123" s="8" t="str">
        <x:v>Элемент</x:v>
      </x:c>
      <x:c r="B123" s="8" t="str">
        <x:v>A1</x:v>
      </x:c>
      <x:c r="C123" s="8" t="str">
        <x:v>A2</x:v>
      </x:c>
      <x:c r="D123" s="8" t="str">
        <x:v>A3</x:v>
      </x:c>
      <x:c r="E123" s="8" t="str">
        <x:v>A4</x:v>
      </x:c>
      <x:c r="F123" s="8" t="str">
        <x:v>Геом. ср.</x:v>
      </x:c>
      <x:c r="G123" s="8" t="str">
        <x:v>Приоритет</x:v>
      </x:c>
      <x:c r="H123" s="8" t="str">
        <x:v>Aw</x:v>
      </x:c>
      <x:c r="I123" s="8" t="str">
        <x:v>Aw/w</x:v>
      </x:c>
    </x:row>
    <x:row r="124">
      <x:c r="A124" t="str">
        <x:v>A1 Бронирование помещений</x:v>
      </x:c>
      <x:c r="B124" s="5" t="n">
        <x:v>1</x:v>
      </x:c>
      <x:c r="C124" s="5" t="n">
        <x:f>'Оценки'!E47</x:f>
        <x:v>0.5</x:v>
      </x:c>
      <x:c r="D124" s="5" t="n">
        <x:f>'Оценки'!E48</x:f>
        <x:v>0.3333333333333333</x:v>
      </x:c>
      <x:c r="E124" s="5" t="n">
        <x:f>'Оценки'!E49</x:f>
        <x:v>0.5</x:v>
      </x:c>
      <x:c r="F124" s="5" t="n">
        <x:f>PRODUCT(B124:E124)^(1/4)</x:f>
        <x:v>0.537284965911771</x:v>
      </x:c>
      <x:c r="G124" s="5" t="n">
        <x:f>F124/SUM($F$124:$F$127)</x:f>
        <x:v>0.1251952390355543</x:v>
      </x:c>
      <x:c r="H124" s="5" t="n">
        <x:f>B124*$G$124+C124*$G$125+D124*$G$126+E124*$G$127</x:f>
        <x:v>0.501816361109084</x:v>
      </x:c>
      <x:c r="I124" s="5" t="n">
        <x:f>H124/G124</x:f>
        <x:v>4.008270322217068</x:v>
      </x:c>
    </x:row>
    <x:row r="125">
      <x:c r="A125" t="str">
        <x:v>A2 Учебные группы</x:v>
      </x:c>
      <x:c r="B125" s="5" t="n">
        <x:f>1/C124</x:f>
        <x:v>2</x:v>
      </x:c>
      <x:c r="C125" s="5" t="n">
        <x:v>1</x:v>
      </x:c>
      <x:c r="D125" s="5" t="n">
        <x:f>'Оценки'!E50</x:f>
        <x:v>0.5</x:v>
      </x:c>
      <x:c r="E125" s="5" t="n">
        <x:f>'Оценки'!E51</x:f>
        <x:v>1</x:v>
      </x:c>
      <x:c r="F125" s="5" t="n">
        <x:f>PRODUCT(B125:E125)^(1/4)</x:f>
        <x:v>1</x:v>
      </x:c>
      <x:c r="G125" s="5" t="n">
        <x:f>F125/SUM($F$124:$F$127)</x:f>
        <x:v>0.23301459556587137</x:v>
      </x:c>
      <x:c r="H125" s="5" t="n">
        <x:f>B125*$G$124+C125*$G$125+D125*$G$126+E125*$G$127</x:f>
        <x:v>0.9428514638094749</x:v>
      </x:c>
      <x:c r="I125" s="5" t="n">
        <x:f>H125/G125</x:f>
        <x:v>4.046319336862906</x:v>
      </x:c>
    </x:row>
    <x:row r="126">
      <x:c r="A126" t="str">
        <x:v>A3 Студенческие события</x:v>
      </x:c>
      <x:c r="B126" s="5" t="n">
        <x:f>1/D124</x:f>
        <x:v>3</x:v>
      </x:c>
      <x:c r="C126" s="5" t="n">
        <x:f>1/D125</x:f>
        <x:v>2</x:v>
      </x:c>
      <x:c r="D126" s="5" t="n">
        <x:v>1</x:v>
      </x:c>
      <x:c r="E126" s="5" t="n">
        <x:f>'Оценки'!E52</x:f>
        <x:v>1</x:v>
      </x:c>
      <x:c r="F126" s="5" t="n">
        <x:f>PRODUCT(B126:E126)^(1/4)</x:f>
        <x:v>1.5650845800732873</x:v>
      </x:c>
      <x:c r="G126" s="5" t="n">
        <x:f>F126/SUM($F$124:$F$127)</x:f>
        <x:v>0.36468755045215867</x:v>
      </x:c>
      <x:c r="H126" s="5" t="n">
        <x:f>B126*$G$124+C126*$G$125+D126*$G$126+E126*$G$127</x:f>
        <x:v>1.4834050736369802</x:v>
      </x:c>
      <x:c r="I126" s="5" t="n">
        <x:f>H126/G126</x:f>
        <x:v>4.067605466097697</x:v>
      </x:c>
    </x:row>
    <x:row r="127">
      <x:c r="A127" t="str">
        <x:v>A4 Волонтёрские смены</x:v>
      </x:c>
      <x:c r="B127" s="5" t="n">
        <x:f>1/E124</x:f>
        <x:v>2</x:v>
      </x:c>
      <x:c r="C127" s="5" t="n">
        <x:f>1/E125</x:f>
        <x:v>1</x:v>
      </x:c>
      <x:c r="D127" s="5" t="n">
        <x:f>1/E126</x:f>
        <x:v>1</x:v>
      </x:c>
      <x:c r="E127" s="5" t="n">
        <x:v>1</x:v>
      </x:c>
      <x:c r="F127" s="5" t="n">
        <x:f>PRODUCT(B127:E127)^(1/4)</x:f>
        <x:v>1.189207115002721</x:v>
      </x:c>
      <x:c r="G127" s="5" t="n">
        <x:f>F127/SUM($F$124:$F$127)</x:f>
        <x:v>0.2771026149464157</x:v>
      </x:c>
      <x:c r="H127" s="5" t="n">
        <x:f>B127*$G$124+C127*$G$125+D127*$G$126+E127*$G$127</x:f>
        <x:v>1.1251952390355544</x:v>
      </x:c>
      <x:c r="I127" s="5" t="n">
        <x:f>H127/G127</x:f>
        <x:v>4.060572431816053</x:v>
      </x:c>
    </x:row>
    <x:row r="128">
      <x:c r="B128" s="5"/>
      <x:c r="C128" s="5"/>
      <x:c r="D128" s="5"/>
      <x:c r="E128" s="5"/>
      <x:c r="F128" s="5"/>
      <x:c r="G128" s="5"/>
      <x:c r="H128" s="5" t="str">
        <x:v>λmax</x:v>
      </x:c>
      <x:c r="I128" s="5" t="n">
        <x:f>AVERAGE(I124:I127)</x:f>
        <x:v>4.04569188924843</x:v>
      </x:c>
    </x:row>
    <x:row r="129">
      <x:c r="B129" s="5"/>
      <x:c r="C129" s="5"/>
      <x:c r="D129" s="5"/>
      <x:c r="E129" s="5"/>
      <x:c r="F129" s="5"/>
      <x:c r="G129" s="5"/>
      <x:c r="H129" s="5" t="str">
        <x:v>CI</x:v>
      </x:c>
      <x:c r="I129" s="5" t="n">
        <x:f>(I128-4)/3</x:f>
        <x:v>0.015230629749476718</x:v>
      </x:c>
    </x:row>
    <x:row r="130">
      <x:c r="B130" s="5"/>
      <x:c r="C130" s="5"/>
      <x:c r="D130" s="5"/>
      <x:c r="E130" s="5"/>
      <x:c r="F130" s="5"/>
      <x:c r="G130" s="5"/>
      <x:c r="H130" s="5" t="str">
        <x:v>CR</x:v>
      </x:c>
      <x:c r="I130" s="5" t="n">
        <x:f>I129/0.9</x:f>
        <x:v>0.01692292194386302</x:v>
      </x:c>
    </x:row>
    <x:row r="132">
      <x:c r="A132" s="4" t="str">
        <x:v>C1 Полезность — Миленин Никита</x:v>
      </x:c>
      <x:c r="B132" s="4"/>
      <x:c r="C132" s="4"/>
      <x:c r="D132" s="4"/>
      <x:c r="E132" s="4"/>
      <x:c r="F132" s="4"/>
      <x:c r="G132" s="4"/>
      <x:c r="H132" s="4"/>
      <x:c r="I132" s="4"/>
    </x:row>
    <x:row r="133">
      <x:c r="A133" s="8" t="str">
        <x:v>Элемент</x:v>
      </x:c>
      <x:c r="B133" s="8" t="str">
        <x:v>A1</x:v>
      </x:c>
      <x:c r="C133" s="8" t="str">
        <x:v>A2</x:v>
      </x:c>
      <x:c r="D133" s="8" t="str">
        <x:v>A3</x:v>
      </x:c>
      <x:c r="E133" s="8" t="str">
        <x:v>A4</x:v>
      </x:c>
      <x:c r="F133" s="8" t="str">
        <x:v>Геом. ср.</x:v>
      </x:c>
      <x:c r="G133" s="8" t="str">
        <x:v>Приоритет</x:v>
      </x:c>
      <x:c r="H133" s="8" t="str">
        <x:v>Aw</x:v>
      </x:c>
      <x:c r="I133" s="8" t="str">
        <x:v>Aw/w</x:v>
      </x:c>
    </x:row>
    <x:row r="134">
      <x:c r="A134" t="str">
        <x:v>A1 Бронирование помещений</x:v>
      </x:c>
      <x:c r="B134" s="5" t="n">
        <x:v>1</x:v>
      </x:c>
      <x:c r="C134" s="5" t="n">
        <x:f>'Оценки'!F47</x:f>
        <x:v>1</x:v>
      </x:c>
      <x:c r="D134" s="5" t="n">
        <x:f>'Оценки'!F48</x:f>
        <x:v>1</x:v>
      </x:c>
      <x:c r="E134" s="5" t="n">
        <x:f>'Оценки'!F49</x:f>
        <x:v>1</x:v>
      </x:c>
      <x:c r="F134" s="5" t="n">
        <x:f>PRODUCT(B134:E134)^(1/4)</x:f>
        <x:v>1</x:v>
      </x:c>
      <x:c r="G134" s="5" t="n">
        <x:f>F134/SUM($F$134:$F$137)</x:f>
        <x:v>0.25</x:v>
      </x:c>
      <x:c r="H134" s="5" t="n">
        <x:f>B134*$G$134+C134*$G$135+D134*$G$136+E134*$G$137</x:f>
        <x:v>1</x:v>
      </x:c>
      <x:c r="I134" s="5" t="n">
        <x:f>H134/G134</x:f>
        <x:v>4</x:v>
      </x:c>
    </x:row>
    <x:row r="135">
      <x:c r="A135" t="str">
        <x:v>A2 Учебные группы</x:v>
      </x:c>
      <x:c r="B135" s="5" t="n">
        <x:f>1/C134</x:f>
        <x:v>1</x:v>
      </x:c>
      <x:c r="C135" s="5" t="n">
        <x:v>1</x:v>
      </x:c>
      <x:c r="D135" s="5" t="n">
        <x:f>'Оценки'!F50</x:f>
        <x:v>1</x:v>
      </x:c>
      <x:c r="E135" s="5" t="n">
        <x:f>'Оценки'!F51</x:f>
        <x:v>1</x:v>
      </x:c>
      <x:c r="F135" s="5" t="n">
        <x:f>PRODUCT(B135:E135)^(1/4)</x:f>
        <x:v>1</x:v>
      </x:c>
      <x:c r="G135" s="5" t="n">
        <x:f>F135/SUM($F$134:$F$137)</x:f>
        <x:v>0.25</x:v>
      </x:c>
      <x:c r="H135" s="5" t="n">
        <x:f>B135*$G$134+C135*$G$135+D135*$G$136+E135*$G$137</x:f>
        <x:v>1</x:v>
      </x:c>
      <x:c r="I135" s="5" t="n">
        <x:f>H135/G135</x:f>
        <x:v>4</x:v>
      </x:c>
    </x:row>
    <x:row r="136">
      <x:c r="A136" t="str">
        <x:v>A3 Студенческие события</x:v>
      </x:c>
      <x:c r="B136" s="5" t="n">
        <x:f>1/D134</x:f>
        <x:v>1</x:v>
      </x:c>
      <x:c r="C136" s="5" t="n">
        <x:f>1/D135</x:f>
        <x:v>1</x:v>
      </x:c>
      <x:c r="D136" s="5" t="n">
        <x:v>1</x:v>
      </x:c>
      <x:c r="E136" s="5" t="n">
        <x:f>'Оценки'!F52</x:f>
        <x:v>1</x:v>
      </x:c>
      <x:c r="F136" s="5" t="n">
        <x:f>PRODUCT(B136:E136)^(1/4)</x:f>
        <x:v>1</x:v>
      </x:c>
      <x:c r="G136" s="5" t="n">
        <x:f>F136/SUM($F$134:$F$137)</x:f>
        <x:v>0.25</x:v>
      </x:c>
      <x:c r="H136" s="5" t="n">
        <x:f>B136*$G$134+C136*$G$135+D136*$G$136+E136*$G$137</x:f>
        <x:v>1</x:v>
      </x:c>
      <x:c r="I136" s="5" t="n">
        <x:f>H136/G136</x:f>
        <x:v>4</x:v>
      </x:c>
    </x:row>
    <x:row r="137">
      <x:c r="A137" t="str">
        <x:v>A4 Волонтёрские смены</x:v>
      </x:c>
      <x:c r="B137" s="5" t="n">
        <x:f>1/E134</x:f>
        <x:v>1</x:v>
      </x:c>
      <x:c r="C137" s="5" t="n">
        <x:f>1/E135</x:f>
        <x:v>1</x:v>
      </x:c>
      <x:c r="D137" s="5" t="n">
        <x:f>1/E136</x:f>
        <x:v>1</x:v>
      </x:c>
      <x:c r="E137" s="5" t="n">
        <x:v>1</x:v>
      </x:c>
      <x:c r="F137" s="5" t="n">
        <x:f>PRODUCT(B137:E137)^(1/4)</x:f>
        <x:v>1</x:v>
      </x:c>
      <x:c r="G137" s="5" t="n">
        <x:f>F137/SUM($F$134:$F$137)</x:f>
        <x:v>0.25</x:v>
      </x:c>
      <x:c r="H137" s="5" t="n">
        <x:f>B137*$G$134+C137*$G$135+D137*$G$136+E137*$G$137</x:f>
        <x:v>1</x:v>
      </x:c>
      <x:c r="I137" s="5" t="n">
        <x:f>H137/G137</x:f>
        <x:v>4</x:v>
      </x:c>
    </x:row>
    <x:row r="138">
      <x:c r="B138" s="5"/>
      <x:c r="C138" s="5"/>
      <x:c r="D138" s="5"/>
      <x:c r="E138" s="5"/>
      <x:c r="F138" s="5"/>
      <x:c r="G138" s="5"/>
      <x:c r="H138" s="5" t="str">
        <x:v>λmax</x:v>
      </x:c>
      <x:c r="I138" s="5" t="n">
        <x:f>AVERAGE(I134:I137)</x:f>
        <x:v>4</x:v>
      </x:c>
    </x:row>
    <x:row r="139">
      <x:c r="B139" s="5"/>
      <x:c r="C139" s="5"/>
      <x:c r="D139" s="5"/>
      <x:c r="E139" s="5"/>
      <x:c r="F139" s="5"/>
      <x:c r="G139" s="5"/>
      <x:c r="H139" s="5" t="str">
        <x:v>CI</x:v>
      </x:c>
      <x:c r="I139" s="5" t="n">
        <x:f>(I138-4)/3</x:f>
        <x:v>0</x:v>
      </x:c>
    </x:row>
    <x:row r="140">
      <x:c r="B140" s="5"/>
      <x:c r="C140" s="5"/>
      <x:c r="D140" s="5"/>
      <x:c r="E140" s="5"/>
      <x:c r="F140" s="5"/>
      <x:c r="G140" s="5"/>
      <x:c r="H140" s="5" t="str">
        <x:v>CR</x:v>
      </x:c>
      <x:c r="I140" s="5" t="n">
        <x:f>I139/0.9</x:f>
        <x:v>0</x:v>
      </x:c>
    </x:row>
    <x:row r="142">
      <x:c r="A142" s="4" t="str">
        <x:v>C1 Полезность — Соу Мамаду</x:v>
      </x:c>
      <x:c r="B142" s="4"/>
      <x:c r="C142" s="4"/>
      <x:c r="D142" s="4"/>
      <x:c r="E142" s="4"/>
      <x:c r="F142" s="4"/>
      <x:c r="G142" s="4"/>
      <x:c r="H142" s="4"/>
      <x:c r="I142" s="4"/>
    </x:row>
    <x:row r="143">
      <x:c r="A143" s="8" t="str">
        <x:v>Элемент</x:v>
      </x:c>
      <x:c r="B143" s="8" t="str">
        <x:v>A1</x:v>
      </x:c>
      <x:c r="C143" s="8" t="str">
        <x:v>A2</x:v>
      </x:c>
      <x:c r="D143" s="8" t="str">
        <x:v>A3</x:v>
      </x:c>
      <x:c r="E143" s="8" t="str">
        <x:v>A4</x:v>
      </x:c>
      <x:c r="F143" s="8" t="str">
        <x:v>Геом. ср.</x:v>
      </x:c>
      <x:c r="G143" s="8" t="str">
        <x:v>Приоритет</x:v>
      </x:c>
      <x:c r="H143" s="8" t="str">
        <x:v>Aw</x:v>
      </x:c>
      <x:c r="I143" s="8" t="str">
        <x:v>Aw/w</x:v>
      </x:c>
    </x:row>
    <x:row r="144">
      <x:c r="A144" t="str">
        <x:v>A1 Бронирование помещений</x:v>
      </x:c>
      <x:c r="B144" s="5" t="n">
        <x:v>1</x:v>
      </x:c>
      <x:c r="C144" s="5" t="n">
        <x:f>'Оценки'!G47</x:f>
        <x:v>1</x:v>
      </x:c>
      <x:c r="D144" s="5" t="n">
        <x:f>'Оценки'!G48</x:f>
        <x:v>0.5</x:v>
      </x:c>
      <x:c r="E144" s="5" t="n">
        <x:f>'Оценки'!G49</x:f>
        <x:v>1</x:v>
      </x:c>
      <x:c r="F144" s="5" t="n">
        <x:f>PRODUCT(B144:E144)^(1/4)</x:f>
        <x:v>0.8408964152537145</x:v>
      </x:c>
      <x:c r="G144" s="5" t="n">
        <x:f>F144/SUM($F$144:$F$147)</x:f>
        <x:v>0.20529665596111354</x:v>
      </x:c>
      <x:c r="H144" s="5" t="n">
        <x:f>B144*$G$144+C144*$G$145+D144*$G$146+E144*$G$147</x:f>
        <x:v>0.8273667779387246</x:v>
      </x:c>
      <x:c r="I144" s="5" t="n">
        <x:f>H144/G144</x:f>
        <x:v>4.030103530256436</x:v>
      </x:c>
    </x:row>
    <x:row r="145">
      <x:c r="A145" t="str">
        <x:v>A2 Учебные группы</x:v>
      </x:c>
      <x:c r="B145" s="5" t="n">
        <x:f>1/C144</x:f>
        <x:v>1</x:v>
      </x:c>
      <x:c r="C145" s="5" t="n">
        <x:v>1</x:v>
      </x:c>
      <x:c r="D145" s="5" t="n">
        <x:f>'Оценки'!G50</x:f>
        <x:v>0.5</x:v>
      </x:c>
      <x:c r="E145" s="5" t="n">
        <x:f>'Оценки'!G51</x:f>
        <x:v>1</x:v>
      </x:c>
      <x:c r="F145" s="5" t="n">
        <x:f>PRODUCT(B145:E145)^(1/4)</x:f>
        <x:v>0.8408964152537145</x:v>
      </x:c>
      <x:c r="G145" s="5" t="n">
        <x:f>F145/SUM($F$144:$F$147)</x:f>
        <x:v>0.20529665596111354</x:v>
      </x:c>
      <x:c r="H145" s="5" t="n">
        <x:f>B145*$G$144+C145*$G$145+D145*$G$146+E145*$G$147</x:f>
        <x:v>0.8273667779387246</x:v>
      </x:c>
      <x:c r="I145" s="5" t="n">
        <x:f>H145/G145</x:f>
        <x:v>4.030103530256436</x:v>
      </x:c>
    </x:row>
    <x:row r="146">
      <x:c r="A146" t="str">
        <x:v>A3 Студенческие события</x:v>
      </x:c>
      <x:c r="B146" s="5" t="n">
        <x:f>1/D144</x:f>
        <x:v>2</x:v>
      </x:c>
      <x:c r="C146" s="5" t="n">
        <x:f>1/D145</x:f>
        <x:v>2</x:v>
      </x:c>
      <x:c r="D146" s="5" t="n">
        <x:v>1</x:v>
      </x:c>
      <x:c r="E146" s="5" t="n">
        <x:f>'Оценки'!G52</x:f>
        <x:v>1</x:v>
      </x:c>
      <x:c r="F146" s="5" t="n">
        <x:f>PRODUCT(B146:E146)^(1/4)</x:f>
        <x:v>1.4142135623730951</x:v>
      </x:c>
      <x:c r="G146" s="5" t="n">
        <x:f>F146/SUM($F$144:$F$147)</x:f>
        <x:v>0.34526644412255103</x:v>
      </x:c>
      <x:c r="H146" s="5" t="n">
        <x:f>B146*$G$144+C146*$G$145+D146*$G$146+E146*$G$147</x:f>
        <x:v>1.4105933119222271</x:v>
      </x:c>
      <x:c r="I146" s="5" t="n">
        <x:f>H146/G146</x:f>
        <x:v>4.0855210111919895</x:v>
      </x:c>
    </x:row>
    <x:row r="147">
      <x:c r="A147" t="str">
        <x:v>A4 Волонтёрские смены</x:v>
      </x:c>
      <x:c r="B147" s="5" t="n">
        <x:f>1/E144</x:f>
        <x:v>1</x:v>
      </x:c>
      <x:c r="C147" s="5" t="n">
        <x:f>1/E145</x:f>
        <x:v>1</x:v>
      </x:c>
      <x:c r="D147" s="5" t="n">
        <x:f>1/E146</x:f>
        <x:v>1</x:v>
      </x:c>
      <x:c r="E147" s="5" t="n">
        <x:v>1</x:v>
      </x:c>
      <x:c r="F147" s="5" t="n">
        <x:f>PRODUCT(B147:E147)^(1/4)</x:f>
        <x:v>1</x:v>
      </x:c>
      <x:c r="G147" s="5" t="n">
        <x:f>F147/SUM($F$144:$F$147)</x:f>
        <x:v>0.24414024395522202</x:v>
      </x:c>
      <x:c r="H147" s="5" t="n">
        <x:f>B147*$G$144+C147*$G$145+D147*$G$146+E147*$G$147</x:f>
        <x:v>1.0000000000000002</x:v>
      </x:c>
      <x:c r="I147" s="5" t="n">
        <x:f>H147/G147</x:f>
        <x:v>4.096006392880525</x:v>
      </x:c>
    </x:row>
    <x:row r="148">
      <x:c r="B148" s="5"/>
      <x:c r="C148" s="5"/>
      <x:c r="D148" s="5"/>
      <x:c r="E148" s="5"/>
      <x:c r="F148" s="5"/>
      <x:c r="G148" s="5"/>
      <x:c r="H148" s="5" t="str">
        <x:v>λmax</x:v>
      </x:c>
      <x:c r="I148" s="5" t="n">
        <x:f>AVERAGE(I144:I147)</x:f>
        <x:v>4.060433616146346</x:v>
      </x:c>
    </x:row>
    <x:row r="149">
      <x:c r="B149" s="5"/>
      <x:c r="C149" s="5"/>
      <x:c r="D149" s="5"/>
      <x:c r="E149" s="5"/>
      <x:c r="F149" s="5"/>
      <x:c r="G149" s="5"/>
      <x:c r="H149" s="5" t="str">
        <x:v>CI</x:v>
      </x:c>
      <x:c r="I149" s="5" t="n">
        <x:f>(I148-4)/3</x:f>
        <x:v>0.020144538715448707</x:v>
      </x:c>
    </x:row>
    <x:row r="150">
      <x:c r="B150" s="5"/>
      <x:c r="C150" s="5"/>
      <x:c r="D150" s="5"/>
      <x:c r="E150" s="5"/>
      <x:c r="F150" s="5"/>
      <x:c r="G150" s="5"/>
      <x:c r="H150" s="5" t="str">
        <x:v>CR</x:v>
      </x:c>
      <x:c r="I150" s="5" t="n">
        <x:f>I149/0.9</x:f>
        <x:v>0.02238282079494301</x:v>
      </x:c>
    </x:row>
    <x:row r="152">
      <x:c r="A152" s="4" t="str">
        <x:v>C2 Реализуемость — Роман Иванин</x:v>
      </x:c>
      <x:c r="B152" s="4"/>
      <x:c r="C152" s="4"/>
      <x:c r="D152" s="4"/>
      <x:c r="E152" s="4"/>
      <x:c r="F152" s="4"/>
      <x:c r="G152" s="4"/>
      <x:c r="H152" s="4"/>
      <x:c r="I152" s="4"/>
    </x:row>
    <x:row r="153">
      <x:c r="A153" s="8" t="str">
        <x:v>Элемент</x:v>
      </x:c>
      <x:c r="B153" s="8" t="str">
        <x:v>A1</x:v>
      </x:c>
      <x:c r="C153" s="8" t="str">
        <x:v>A2</x:v>
      </x:c>
      <x:c r="D153" s="8" t="str">
        <x:v>A3</x:v>
      </x:c>
      <x:c r="E153" s="8" t="str">
        <x:v>A4</x:v>
      </x:c>
      <x:c r="F153" s="8" t="str">
        <x:v>Геом. ср.</x:v>
      </x:c>
      <x:c r="G153" s="8" t="str">
        <x:v>Приоритет</x:v>
      </x:c>
      <x:c r="H153" s="8" t="str">
        <x:v>Aw</x:v>
      </x:c>
      <x:c r="I153" s="8" t="str">
        <x:v>Aw/w</x:v>
      </x:c>
    </x:row>
    <x:row r="154">
      <x:c r="A154" t="str">
        <x:v>A1 Бронирование помещений</x:v>
      </x:c>
      <x:c r="B154" s="5" t="n">
        <x:v>1</x:v>
      </x:c>
      <x:c r="C154" s="5" t="n">
        <x:f>'Оценки'!D53</x:f>
        <x:v>0.3333333333333333</x:v>
      </x:c>
      <x:c r="D154" s="5" t="n">
        <x:f>'Оценки'!D54</x:f>
        <x:v>0.5</x:v>
      </x:c>
      <x:c r="E154" s="5" t="n">
        <x:f>'Оценки'!D55</x:f>
        <x:v>0.5</x:v>
      </x:c>
      <x:c r="F154" s="5" t="n">
        <x:f>PRODUCT(B154:E154)^(1/4)</x:f>
        <x:v>0.537284965911771</x:v>
      </x:c>
      <x:c r="G154" s="5" t="n">
        <x:f>F154/SUM($F$154:$F$157)</x:f>
        <x:v>0.1251952390355543</x:v>
      </x:c>
      <x:c r="H154" s="5" t="n">
        <x:f>B154*$G$154+C154*$G$155+D154*$G$156+E154*$G$157</x:f>
        <x:v>0.501816361109084</x:v>
      </x:c>
      <x:c r="I154" s="5" t="n">
        <x:f>H154/G154</x:f>
        <x:v>4.008270322217068</x:v>
      </x:c>
    </x:row>
    <x:row r="155">
      <x:c r="A155" t="str">
        <x:v>A2 Учебные группы</x:v>
      </x:c>
      <x:c r="B155" s="5" t="n">
        <x:f>1/C154</x:f>
        <x:v>3</x:v>
      </x:c>
      <x:c r="C155" s="5" t="n">
        <x:v>1</x:v>
      </x:c>
      <x:c r="D155" s="5" t="n">
        <x:f>'Оценки'!D56</x:f>
        <x:v>1</x:v>
      </x:c>
      <x:c r="E155" s="5" t="n">
        <x:f>'Оценки'!D57</x:f>
        <x:v>2</x:v>
      </x:c>
      <x:c r="F155" s="5" t="n">
        <x:f>PRODUCT(B155:E155)^(1/4)</x:f>
        <x:v>1.5650845800732873</x:v>
      </x:c>
      <x:c r="G155" s="5" t="n">
        <x:f>F155/SUM($F$154:$F$157)</x:f>
        <x:v>0.36468755045215867</x:v>
      </x:c>
      <x:c r="H155" s="5" t="n">
        <x:f>B155*$G$154+C155*$G$155+D155*$G$156+E155*$G$157</x:f>
        <x:v>1.48340507363698</x:v>
      </x:c>
      <x:c r="I155" s="5" t="n">
        <x:f>H155/G155</x:f>
        <x:v>4.067605466097696</x:v>
      </x:c>
    </x:row>
    <x:row r="156">
      <x:c r="A156" t="str">
        <x:v>A3 Студенческие события</x:v>
      </x:c>
      <x:c r="B156" s="5" t="n">
        <x:f>1/D154</x:f>
        <x:v>2</x:v>
      </x:c>
      <x:c r="C156" s="5" t="n">
        <x:f>1/D155</x:f>
        <x:v>1</x:v>
      </x:c>
      <x:c r="D156" s="5" t="n">
        <x:v>1</x:v>
      </x:c>
      <x:c r="E156" s="5" t="n">
        <x:f>'Оценки'!D58</x:f>
        <x:v>1</x:v>
      </x:c>
      <x:c r="F156" s="5" t="n">
        <x:f>PRODUCT(B156:E156)^(1/4)</x:f>
        <x:v>1.189207115002721</x:v>
      </x:c>
      <x:c r="G156" s="5" t="n">
        <x:f>F156/SUM($F$154:$F$157)</x:f>
        <x:v>0.2771026149464157</x:v>
      </x:c>
      <x:c r="H156" s="5" t="n">
        <x:f>B156*$G$154+C156*$G$155+D156*$G$156+E156*$G$157</x:f>
        <x:v>1.1251952390355544</x:v>
      </x:c>
      <x:c r="I156" s="5" t="n">
        <x:f>H156/G156</x:f>
        <x:v>4.060572431816053</x:v>
      </x:c>
    </x:row>
    <x:row r="157">
      <x:c r="A157" t="str">
        <x:v>A4 Волонтёрские смены</x:v>
      </x:c>
      <x:c r="B157" s="5" t="n">
        <x:f>1/E154</x:f>
        <x:v>2</x:v>
      </x:c>
      <x:c r="C157" s="5" t="n">
        <x:f>1/E155</x:f>
        <x:v>0.5</x:v>
      </x:c>
      <x:c r="D157" s="5" t="n">
        <x:f>1/E156</x:f>
        <x:v>1</x:v>
      </x:c>
      <x:c r="E157" s="5" t="n">
        <x:v>1</x:v>
      </x:c>
      <x:c r="F157" s="5" t="n">
        <x:f>PRODUCT(B157:E157)^(1/4)</x:f>
        <x:v>1</x:v>
      </x:c>
      <x:c r="G157" s="5" t="n">
        <x:f>F157/SUM($F$154:$F$157)</x:f>
        <x:v>0.23301459556587137</x:v>
      </x:c>
      <x:c r="H157" s="5" t="n">
        <x:f>B157*$G$154+C157*$G$155+D157*$G$156+E157*$G$157</x:f>
        <x:v>0.9428514638094749</x:v>
      </x:c>
      <x:c r="I157" s="5" t="n">
        <x:f>H157/G157</x:f>
        <x:v>4.046319336862906</x:v>
      </x:c>
    </x:row>
    <x:row r="158">
      <x:c r="B158" s="5"/>
      <x:c r="C158" s="5"/>
      <x:c r="D158" s="5"/>
      <x:c r="E158" s="5"/>
      <x:c r="F158" s="5"/>
      <x:c r="G158" s="5"/>
      <x:c r="H158" s="5" t="str">
        <x:v>λmax</x:v>
      </x:c>
      <x:c r="I158" s="5" t="n">
        <x:f>AVERAGE(I154:I157)</x:f>
        <x:v>4.045691889248431</x:v>
      </x:c>
    </x:row>
    <x:row r="159">
      <x:c r="B159" s="5"/>
      <x:c r="C159" s="5"/>
      <x:c r="D159" s="5"/>
      <x:c r="E159" s="5"/>
      <x:c r="F159" s="5"/>
      <x:c r="G159" s="5"/>
      <x:c r="H159" s="5" t="str">
        <x:v>CI</x:v>
      </x:c>
      <x:c r="I159" s="5" t="n">
        <x:f>(I158-4)/3</x:f>
        <x:v>0.015230629749477012</x:v>
      </x:c>
    </x:row>
    <x:row r="160">
      <x:c r="B160" s="5"/>
      <x:c r="C160" s="5"/>
      <x:c r="D160" s="5"/>
      <x:c r="E160" s="5"/>
      <x:c r="F160" s="5"/>
      <x:c r="G160" s="5"/>
      <x:c r="H160" s="5" t="str">
        <x:v>CR</x:v>
      </x:c>
      <x:c r="I160" s="5" t="n">
        <x:f>I159/0.9</x:f>
        <x:v>0.016922921943863346</x:v>
      </x:c>
    </x:row>
    <x:row r="162">
      <x:c r="A162" s="4" t="str">
        <x:v>C2 Реализуемость — Баулин Евгений</x:v>
      </x:c>
      <x:c r="B162" s="4"/>
      <x:c r="C162" s="4"/>
      <x:c r="D162" s="4"/>
      <x:c r="E162" s="4"/>
      <x:c r="F162" s="4"/>
      <x:c r="G162" s="4"/>
      <x:c r="H162" s="4"/>
      <x:c r="I162" s="4"/>
    </x:row>
    <x:row r="163">
      <x:c r="A163" s="8" t="str">
        <x:v>Элемент</x:v>
      </x:c>
      <x:c r="B163" s="8" t="str">
        <x:v>A1</x:v>
      </x:c>
      <x:c r="C163" s="8" t="str">
        <x:v>A2</x:v>
      </x:c>
      <x:c r="D163" s="8" t="str">
        <x:v>A3</x:v>
      </x:c>
      <x:c r="E163" s="8" t="str">
        <x:v>A4</x:v>
      </x:c>
      <x:c r="F163" s="8" t="str">
        <x:v>Геом. ср.</x:v>
      </x:c>
      <x:c r="G163" s="8" t="str">
        <x:v>Приоритет</x:v>
      </x:c>
      <x:c r="H163" s="8" t="str">
        <x:v>Aw</x:v>
      </x:c>
      <x:c r="I163" s="8" t="str">
        <x:v>Aw/w</x:v>
      </x:c>
    </x:row>
    <x:row r="164">
      <x:c r="A164" t="str">
        <x:v>A1 Бронирование помещений</x:v>
      </x:c>
      <x:c r="B164" s="5" t="n">
        <x:v>1</x:v>
      </x:c>
      <x:c r="C164" s="5" t="n">
        <x:f>'Оценки'!E53</x:f>
        <x:v>0.5</x:v>
      </x:c>
      <x:c r="D164" s="5" t="n">
        <x:f>'Оценки'!E54</x:f>
        <x:v>1</x:v>
      </x:c>
      <x:c r="E164" s="5" t="n">
        <x:f>'Оценки'!E55</x:f>
        <x:v>1</x:v>
      </x:c>
      <x:c r="F164" s="5" t="n">
        <x:f>PRODUCT(B164:E164)^(1/4)</x:f>
        <x:v>0.8408964152537145</x:v>
      </x:c>
      <x:c r="G164" s="5" t="n">
        <x:f>F164/SUM($F$164:$F$167)</x:f>
        <x:v>0.2052966559611135</x:v>
      </x:c>
      <x:c r="H164" s="5" t="n">
        <x:f>B164*$G$164+C164*$G$165+D164*$G$166+E164*$G$167</x:f>
        <x:v>0.8273667779387244</x:v>
      </x:c>
      <x:c r="I164" s="5" t="n">
        <x:f>H164/G164</x:f>
        <x:v>4.030103530256436</x:v>
      </x:c>
    </x:row>
    <x:row r="165">
      <x:c r="A165" t="str">
        <x:v>A2 Учебные группы</x:v>
      </x:c>
      <x:c r="B165" s="5" t="n">
        <x:f>1/C164</x:f>
        <x:v>2</x:v>
      </x:c>
      <x:c r="C165" s="5" t="n">
        <x:v>1</x:v>
      </x:c>
      <x:c r="D165" s="5" t="n">
        <x:f>'Оценки'!E56</x:f>
        <x:v>1</x:v>
      </x:c>
      <x:c r="E165" s="5" t="n">
        <x:f>'Оценки'!E57</x:f>
        <x:v>2</x:v>
      </x:c>
      <x:c r="F165" s="5" t="n">
        <x:f>PRODUCT(B165:E165)^(1/4)</x:f>
        <x:v>1.4142135623730951</x:v>
      </x:c>
      <x:c r="G165" s="5" t="n">
        <x:f>F165/SUM($F$164:$F$167)</x:f>
        <x:v>0.345266444122551</x:v>
      </x:c>
      <x:c r="H165" s="5" t="n">
        <x:f>B165*$G$164+C165*$G$165+D165*$G$166+E165*$G$167</x:f>
        <x:v>1.410593311922227</x:v>
      </x:c>
      <x:c r="I165" s="5" t="n">
        <x:f>H165/G165</x:f>
        <x:v>4.0855210111919895</x:v>
      </x:c>
    </x:row>
    <x:row r="166">
      <x:c r="A166" t="str">
        <x:v>A3 Студенческие события</x:v>
      </x:c>
      <x:c r="B166" s="5" t="n">
        <x:f>1/D164</x:f>
        <x:v>1</x:v>
      </x:c>
      <x:c r="C166" s="5" t="n">
        <x:f>1/D165</x:f>
        <x:v>1</x:v>
      </x:c>
      <x:c r="D166" s="5" t="n">
        <x:v>1</x:v>
      </x:c>
      <x:c r="E166" s="5" t="n">
        <x:f>'Оценки'!E58</x:f>
        <x:v>1</x:v>
      </x:c>
      <x:c r="F166" s="5" t="n">
        <x:f>PRODUCT(B166:E166)^(1/4)</x:f>
        <x:v>1</x:v>
      </x:c>
      <x:c r="G166" s="5" t="n">
        <x:f>F166/SUM($F$164:$F$167)</x:f>
        <x:v>0.24414024395522196</x:v>
      </x:c>
      <x:c r="H166" s="5" t="n">
        <x:f>B166*$G$164+C166*$G$165+D166*$G$166+E166*$G$167</x:f>
        <x:v>0.9999999999999999</x:v>
      </x:c>
      <x:c r="I166" s="5" t="n">
        <x:f>H166/G166</x:f>
        <x:v>4.096006392880524</x:v>
      </x:c>
    </x:row>
    <x:row r="167">
      <x:c r="A167" t="str">
        <x:v>A4 Волонтёрские смены</x:v>
      </x:c>
      <x:c r="B167" s="5" t="n">
        <x:f>1/E164</x:f>
        <x:v>1</x:v>
      </x:c>
      <x:c r="C167" s="5" t="n">
        <x:f>1/E165</x:f>
        <x:v>0.5</x:v>
      </x:c>
      <x:c r="D167" s="5" t="n">
        <x:f>1/E166</x:f>
        <x:v>1</x:v>
      </x:c>
      <x:c r="E167" s="5" t="n">
        <x:v>1</x:v>
      </x:c>
      <x:c r="F167" s="5" t="n">
        <x:f>PRODUCT(B167:E167)^(1/4)</x:f>
        <x:v>0.8408964152537145</x:v>
      </x:c>
      <x:c r="G167" s="5" t="n">
        <x:f>F167/SUM($F$164:$F$167)</x:f>
        <x:v>0.2052966559611135</x:v>
      </x:c>
      <x:c r="H167" s="5" t="n">
        <x:f>B167*$G$164+C167*$G$165+D167*$G$166+E167*$G$167</x:f>
        <x:v>0.8273667779387244</x:v>
      </x:c>
      <x:c r="I167" s="5" t="n">
        <x:f>H167/G167</x:f>
        <x:v>4.030103530256436</x:v>
      </x:c>
    </x:row>
    <x:row r="168">
      <x:c r="B168" s="5"/>
      <x:c r="C168" s="5"/>
      <x:c r="D168" s="5"/>
      <x:c r="E168" s="5"/>
      <x:c r="F168" s="5"/>
      <x:c r="G168" s="5"/>
      <x:c r="H168" s="5" t="str">
        <x:v>λmax</x:v>
      </x:c>
      <x:c r="I168" s="5" t="n">
        <x:f>AVERAGE(I164:I167)</x:f>
        <x:v>4.060433616146346</x:v>
      </x:c>
    </x:row>
    <x:row r="169">
      <x:c r="B169" s="5"/>
      <x:c r="C169" s="5"/>
      <x:c r="D169" s="5"/>
      <x:c r="E169" s="5"/>
      <x:c r="F169" s="5"/>
      <x:c r="G169" s="5"/>
      <x:c r="H169" s="5" t="str">
        <x:v>CI</x:v>
      </x:c>
      <x:c r="I169" s="5" t="n">
        <x:f>(I168-4)/3</x:f>
        <x:v>0.020144538715448707</x:v>
      </x:c>
    </x:row>
    <x:row r="170">
      <x:c r="B170" s="5"/>
      <x:c r="C170" s="5"/>
      <x:c r="D170" s="5"/>
      <x:c r="E170" s="5"/>
      <x:c r="F170" s="5"/>
      <x:c r="G170" s="5"/>
      <x:c r="H170" s="5" t="str">
        <x:v>CR</x:v>
      </x:c>
      <x:c r="I170" s="5" t="n">
        <x:f>I169/0.9</x:f>
        <x:v>0.02238282079494301</x:v>
      </x:c>
    </x:row>
    <x:row r="172">
      <x:c r="A172" s="4" t="str">
        <x:v>C2 Реализуемость — Миленин Никита</x:v>
      </x:c>
      <x:c r="B172" s="4"/>
      <x:c r="C172" s="4"/>
      <x:c r="D172" s="4"/>
      <x:c r="E172" s="4"/>
      <x:c r="F172" s="4"/>
      <x:c r="G172" s="4"/>
      <x:c r="H172" s="4"/>
      <x:c r="I172" s="4"/>
    </x:row>
    <x:row r="173">
      <x:c r="A173" s="8" t="str">
        <x:v>Элемент</x:v>
      </x:c>
      <x:c r="B173" s="8" t="str">
        <x:v>A1</x:v>
      </x:c>
      <x:c r="C173" s="8" t="str">
        <x:v>A2</x:v>
      </x:c>
      <x:c r="D173" s="8" t="str">
        <x:v>A3</x:v>
      </x:c>
      <x:c r="E173" s="8" t="str">
        <x:v>A4</x:v>
      </x:c>
      <x:c r="F173" s="8" t="str">
        <x:v>Геом. ср.</x:v>
      </x:c>
      <x:c r="G173" s="8" t="str">
        <x:v>Приоритет</x:v>
      </x:c>
      <x:c r="H173" s="8" t="str">
        <x:v>Aw</x:v>
      </x:c>
      <x:c r="I173" s="8" t="str">
        <x:v>Aw/w</x:v>
      </x:c>
    </x:row>
    <x:row r="174">
      <x:c r="A174" t="str">
        <x:v>A1 Бронирование помещений</x:v>
      </x:c>
      <x:c r="B174" s="5" t="n">
        <x:v>1</x:v>
      </x:c>
      <x:c r="C174" s="5" t="n">
        <x:f>'Оценки'!F53</x:f>
        <x:v>0.3333333333333333</x:v>
      </x:c>
      <x:c r="D174" s="5" t="n">
        <x:f>'Оценки'!F54</x:f>
        <x:v>0.3333333333333333</x:v>
      </x:c>
      <x:c r="E174" s="5" t="n">
        <x:f>'Оценки'!F55</x:f>
        <x:v>0.5</x:v>
      </x:c>
      <x:c r="F174" s="5" t="n">
        <x:f>PRODUCT(B174:E174)^(1/4)</x:f>
        <x:v>0.48549177170732344</x:v>
      </x:c>
      <x:c r="G174" s="5" t="n">
        <x:f>F174/SUM($F$174:$F$177)</x:f>
        <x:v>0.10893874663644044</x:v>
      </x:c>
      <x:c r="H174" s="5" t="n">
        <x:f>B174*$G$174+C174*$G$175+D174*$G$176+E174*$G$177</x:f>
        <x:v>0.43740707177215826</x:v>
      </x:c>
      <x:c r="I174" s="5" t="n">
        <x:f>H174/G174</x:f>
        <x:v>4.015165267431523</x:v>
      </x:c>
    </x:row>
    <x:row r="175">
      <x:c r="A175" t="str">
        <x:v>A2 Учебные группы</x:v>
      </x:c>
      <x:c r="B175" s="5" t="n">
        <x:f>1/C174</x:f>
        <x:v>3</x:v>
      </x:c>
      <x:c r="C175" s="5" t="n">
        <x:v>1</x:v>
      </x:c>
      <x:c r="D175" s="5" t="n">
        <x:f>'Оценки'!F56</x:f>
        <x:v>1</x:v>
      </x:c>
      <x:c r="E175" s="5" t="n">
        <x:f>'Оценки'!F57</x:f>
        <x:v>2</x:v>
      </x:c>
      <x:c r="F175" s="5" t="n">
        <x:f>PRODUCT(B175:E175)^(1/4)</x:f>
        <x:v>1.5650845800732873</x:v>
      </x:c>
      <x:c r="G175" s="5" t="n">
        <x:f>F175/SUM($F$174:$F$177)</x:f>
        <x:v>0.35118690463818575</x:v>
      </x:c>
      <x:c r="H175" s="5" t="n">
        <x:f>B175*$G$174+C175*$G$175+D175*$G$176+E175*$G$177</x:f>
        <x:v>1.4065649373600688</x:v>
      </x:c>
      <x:c r="I175" s="5" t="n">
        <x:f>H175/G175</x:f>
        <x:v>4.005174790925642</x:v>
      </x:c>
    </x:row>
    <x:row r="176">
      <x:c r="A176" t="str">
        <x:v>A3 Студенческие события</x:v>
      </x:c>
      <x:c r="B176" s="5" t="n">
        <x:f>1/D174</x:f>
        <x:v>3</x:v>
      </x:c>
      <x:c r="C176" s="5" t="n">
        <x:f>1/D175</x:f>
        <x:v>1</x:v>
      </x:c>
      <x:c r="D176" s="5" t="n">
        <x:v>1</x:v>
      </x:c>
      <x:c r="E176" s="5" t="n">
        <x:f>'Оценки'!F58</x:f>
        <x:v>2</x:v>
      </x:c>
      <x:c r="F176" s="5" t="n">
        <x:f>PRODUCT(B176:E176)^(1/4)</x:f>
        <x:v>1.5650845800732873</x:v>
      </x:c>
      <x:c r="G176" s="5" t="n">
        <x:f>F176/SUM($F$174:$F$177)</x:f>
        <x:v>0.35118690463818575</x:v>
      </x:c>
      <x:c r="H176" s="5" t="n">
        <x:f>B176*$G$174+C176*$G$175+D176*$G$176+E176*$G$177</x:f>
        <x:v>1.4065649373600688</x:v>
      </x:c>
      <x:c r="I176" s="5" t="n">
        <x:f>H176/G176</x:f>
        <x:v>4.005174790925642</x:v>
      </x:c>
    </x:row>
    <x:row r="177">
      <x:c r="A177" t="str">
        <x:v>A4 Волонтёрские смены</x:v>
      </x:c>
      <x:c r="B177" s="5" t="n">
        <x:f>1/E174</x:f>
        <x:v>2</x:v>
      </x:c>
      <x:c r="C177" s="5" t="n">
        <x:f>1/E175</x:f>
        <x:v>0.5</x:v>
      </x:c>
      <x:c r="D177" s="5" t="n">
        <x:f>1/E176</x:f>
        <x:v>0.5</x:v>
      </x:c>
      <x:c r="E177" s="5" t="n">
        <x:v>1</x:v>
      </x:c>
      <x:c r="F177" s="5" t="n">
        <x:f>PRODUCT(B177:E177)^(1/4)</x:f>
        <x:v>0.8408964152537145</x:v>
      </x:c>
      <x:c r="G177" s="5" t="n">
        <x:f>F177/SUM($F$174:$F$177)</x:f>
        <x:v>0.188687444087188</x:v>
      </x:c>
      <x:c r="H177" s="5" t="n">
        <x:f>B177*$G$174+C177*$G$175+D177*$G$176+E177*$G$177</x:f>
        <x:v>0.7577518419982546</x:v>
      </x:c>
      <x:c r="I177" s="5" t="n">
        <x:f>H177/G177</x:f>
        <x:v>4.01591025658345</x:v>
      </x:c>
    </x:row>
    <x:row r="178">
      <x:c r="B178" s="5"/>
      <x:c r="C178" s="5"/>
      <x:c r="D178" s="5"/>
      <x:c r="E178" s="5"/>
      <x:c r="F178" s="5"/>
      <x:c r="G178" s="5"/>
      <x:c r="H178" s="5" t="str">
        <x:v>λmax</x:v>
      </x:c>
      <x:c r="I178" s="5" t="n">
        <x:f>AVERAGE(I174:I177)</x:f>
        <x:v>4.010356276466564</x:v>
      </x:c>
    </x:row>
    <x:row r="179">
      <x:c r="B179" s="5"/>
      <x:c r="C179" s="5"/>
      <x:c r="D179" s="5"/>
      <x:c r="E179" s="5"/>
      <x:c r="F179" s="5"/>
      <x:c r="G179" s="5"/>
      <x:c r="H179" s="5" t="str">
        <x:v>CI</x:v>
      </x:c>
      <x:c r="I179" s="5" t="n">
        <x:f>(I178-4)/3</x:f>
        <x:v>0.0034520921555213726</x:v>
      </x:c>
    </x:row>
    <x:row r="180">
      <x:c r="B180" s="5"/>
      <x:c r="C180" s="5"/>
      <x:c r="D180" s="5"/>
      <x:c r="E180" s="5"/>
      <x:c r="F180" s="5"/>
      <x:c r="G180" s="5"/>
      <x:c r="H180" s="5" t="str">
        <x:v>CR</x:v>
      </x:c>
      <x:c r="I180" s="5" t="n">
        <x:f>I179/0.9</x:f>
        <x:v>0.003835657950579303</x:v>
      </x:c>
    </x:row>
    <x:row r="182">
      <x:c r="A182" s="4" t="str">
        <x:v>C2 Реализуемость — Соу Мамаду</x:v>
      </x:c>
      <x:c r="B182" s="4"/>
      <x:c r="C182" s="4"/>
      <x:c r="D182" s="4"/>
      <x:c r="E182" s="4"/>
      <x:c r="F182" s="4"/>
      <x:c r="G182" s="4"/>
      <x:c r="H182" s="4"/>
      <x:c r="I182" s="4"/>
    </x:row>
    <x:row r="183">
      <x:c r="A183" s="8" t="str">
        <x:v>Элемент</x:v>
      </x:c>
      <x:c r="B183" s="8" t="str">
        <x:v>A1</x:v>
      </x:c>
      <x:c r="C183" s="8" t="str">
        <x:v>A2</x:v>
      </x:c>
      <x:c r="D183" s="8" t="str">
        <x:v>A3</x:v>
      </x:c>
      <x:c r="E183" s="8" t="str">
        <x:v>A4</x:v>
      </x:c>
      <x:c r="F183" s="8" t="str">
        <x:v>Геом. ср.</x:v>
      </x:c>
      <x:c r="G183" s="8" t="str">
        <x:v>Приоритет</x:v>
      </x:c>
      <x:c r="H183" s="8" t="str">
        <x:v>Aw</x:v>
      </x:c>
      <x:c r="I183" s="8" t="str">
        <x:v>Aw/w</x:v>
      </x:c>
    </x:row>
    <x:row r="184">
      <x:c r="A184" t="str">
        <x:v>A1 Бронирование помещений</x:v>
      </x:c>
      <x:c r="B184" s="5" t="n">
        <x:v>1</x:v>
      </x:c>
      <x:c r="C184" s="5" t="n">
        <x:f>'Оценки'!G53</x:f>
        <x:v>0.5</x:v>
      </x:c>
      <x:c r="D184" s="5" t="n">
        <x:f>'Оценки'!G54</x:f>
        <x:v>1</x:v>
      </x:c>
      <x:c r="E184" s="5" t="n">
        <x:f>'Оценки'!G55</x:f>
        <x:v>1</x:v>
      </x:c>
      <x:c r="F184" s="5" t="n">
        <x:f>PRODUCT(B184:E184)^(1/4)</x:f>
        <x:v>0.8408964152537145</x:v>
      </x:c>
      <x:c r="G184" s="5" t="n">
        <x:f>F184/SUM($F$184:$F$187)</x:f>
        <x:v>0.2052966559611135</x:v>
      </x:c>
      <x:c r="H184" s="5" t="n">
        <x:f>B184*$G$184+C184*$G$185+D184*$G$186+E184*$G$187</x:f>
        <x:v>0.8273667779387244</x:v>
      </x:c>
      <x:c r="I184" s="5" t="n">
        <x:f>H184/G184</x:f>
        <x:v>4.030103530256436</x:v>
      </x:c>
    </x:row>
    <x:row r="185">
      <x:c r="A185" t="str">
        <x:v>A2 Учебные группы</x:v>
      </x:c>
      <x:c r="B185" s="5" t="n">
        <x:f>1/C184</x:f>
        <x:v>2</x:v>
      </x:c>
      <x:c r="C185" s="5" t="n">
        <x:v>1</x:v>
      </x:c>
      <x:c r="D185" s="5" t="n">
        <x:f>'Оценки'!G56</x:f>
        <x:v>1</x:v>
      </x:c>
      <x:c r="E185" s="5" t="n">
        <x:f>'Оценки'!G57</x:f>
        <x:v>2</x:v>
      </x:c>
      <x:c r="F185" s="5" t="n">
        <x:f>PRODUCT(B185:E185)^(1/4)</x:f>
        <x:v>1.4142135623730951</x:v>
      </x:c>
      <x:c r="G185" s="5" t="n">
        <x:f>F185/SUM($F$184:$F$187)</x:f>
        <x:v>0.345266444122551</x:v>
      </x:c>
      <x:c r="H185" s="5" t="n">
        <x:f>B185*$G$184+C185*$G$185+D185*$G$186+E185*$G$187</x:f>
        <x:v>1.410593311922227</x:v>
      </x:c>
      <x:c r="I185" s="5" t="n">
        <x:f>H185/G185</x:f>
        <x:v>4.0855210111919895</x:v>
      </x:c>
    </x:row>
    <x:row r="186">
      <x:c r="A186" t="str">
        <x:v>A3 Студенческие события</x:v>
      </x:c>
      <x:c r="B186" s="5" t="n">
        <x:f>1/D184</x:f>
        <x:v>1</x:v>
      </x:c>
      <x:c r="C186" s="5" t="n">
        <x:f>1/D185</x:f>
        <x:v>1</x:v>
      </x:c>
      <x:c r="D186" s="5" t="n">
        <x:v>1</x:v>
      </x:c>
      <x:c r="E186" s="5" t="n">
        <x:f>'Оценки'!G58</x:f>
        <x:v>1</x:v>
      </x:c>
      <x:c r="F186" s="5" t="n">
        <x:f>PRODUCT(B186:E186)^(1/4)</x:f>
        <x:v>1</x:v>
      </x:c>
      <x:c r="G186" s="5" t="n">
        <x:f>F186/SUM($F$184:$F$187)</x:f>
        <x:v>0.24414024395522196</x:v>
      </x:c>
      <x:c r="H186" s="5" t="n">
        <x:f>B186*$G$184+C186*$G$185+D186*$G$186+E186*$G$187</x:f>
        <x:v>0.9999999999999999</x:v>
      </x:c>
      <x:c r="I186" s="5" t="n">
        <x:f>H186/G186</x:f>
        <x:v>4.096006392880524</x:v>
      </x:c>
    </x:row>
    <x:row r="187">
      <x:c r="A187" t="str">
        <x:v>A4 Волонтёрские смены</x:v>
      </x:c>
      <x:c r="B187" s="5" t="n">
        <x:f>1/E184</x:f>
        <x:v>1</x:v>
      </x:c>
      <x:c r="C187" s="5" t="n">
        <x:f>1/E185</x:f>
        <x:v>0.5</x:v>
      </x:c>
      <x:c r="D187" s="5" t="n">
        <x:f>1/E186</x:f>
        <x:v>1</x:v>
      </x:c>
      <x:c r="E187" s="5" t="n">
        <x:v>1</x:v>
      </x:c>
      <x:c r="F187" s="5" t="n">
        <x:f>PRODUCT(B187:E187)^(1/4)</x:f>
        <x:v>0.8408964152537145</x:v>
      </x:c>
      <x:c r="G187" s="5" t="n">
        <x:f>F187/SUM($F$184:$F$187)</x:f>
        <x:v>0.2052966559611135</x:v>
      </x:c>
      <x:c r="H187" s="5" t="n">
        <x:f>B187*$G$184+C187*$G$185+D187*$G$186+E187*$G$187</x:f>
        <x:v>0.8273667779387244</x:v>
      </x:c>
      <x:c r="I187" s="5" t="n">
        <x:f>H187/G187</x:f>
        <x:v>4.030103530256436</x:v>
      </x:c>
    </x:row>
    <x:row r="188">
      <x:c r="B188" s="5"/>
      <x:c r="C188" s="5"/>
      <x:c r="D188" s="5"/>
      <x:c r="E188" s="5"/>
      <x:c r="F188" s="5"/>
      <x:c r="G188" s="5"/>
      <x:c r="H188" s="5" t="str">
        <x:v>λmax</x:v>
      </x:c>
      <x:c r="I188" s="5" t="n">
        <x:f>AVERAGE(I184:I187)</x:f>
        <x:v>4.060433616146346</x:v>
      </x:c>
    </x:row>
    <x:row r="189">
      <x:c r="B189" s="5"/>
      <x:c r="C189" s="5"/>
      <x:c r="D189" s="5"/>
      <x:c r="E189" s="5"/>
      <x:c r="F189" s="5"/>
      <x:c r="G189" s="5"/>
      <x:c r="H189" s="5" t="str">
        <x:v>CI</x:v>
      </x:c>
      <x:c r="I189" s="5" t="n">
        <x:f>(I188-4)/3</x:f>
        <x:v>0.020144538715448707</x:v>
      </x:c>
    </x:row>
    <x:row r="190">
      <x:c r="B190" s="5"/>
      <x:c r="C190" s="5"/>
      <x:c r="D190" s="5"/>
      <x:c r="E190" s="5"/>
      <x:c r="F190" s="5"/>
      <x:c r="G190" s="5"/>
      <x:c r="H190" s="5" t="str">
        <x:v>CR</x:v>
      </x:c>
      <x:c r="I190" s="5" t="n">
        <x:f>I189/0.9</x:f>
        <x:v>0.02238282079494301</x:v>
      </x:c>
    </x:row>
    <x:row r="192">
      <x:c r="A192" s="4" t="str">
        <x:v>C3 Ясность сценариев — Роман Иванин</x:v>
      </x:c>
      <x:c r="B192" s="4"/>
      <x:c r="C192" s="4"/>
      <x:c r="D192" s="4"/>
      <x:c r="E192" s="4"/>
      <x:c r="F192" s="4"/>
      <x:c r="G192" s="4"/>
      <x:c r="H192" s="4"/>
      <x:c r="I192" s="4"/>
    </x:row>
    <x:row r="193">
      <x:c r="A193" s="8" t="str">
        <x:v>Элемент</x:v>
      </x:c>
      <x:c r="B193" s="8" t="str">
        <x:v>A1</x:v>
      </x:c>
      <x:c r="C193" s="8" t="str">
        <x:v>A2</x:v>
      </x:c>
      <x:c r="D193" s="8" t="str">
        <x:v>A3</x:v>
      </x:c>
      <x:c r="E193" s="8" t="str">
        <x:v>A4</x:v>
      </x:c>
      <x:c r="F193" s="8" t="str">
        <x:v>Геом. ср.</x:v>
      </x:c>
      <x:c r="G193" s="8" t="str">
        <x:v>Приоритет</x:v>
      </x:c>
      <x:c r="H193" s="8" t="str">
        <x:v>Aw</x:v>
      </x:c>
      <x:c r="I193" s="8" t="str">
        <x:v>Aw/w</x:v>
      </x:c>
    </x:row>
    <x:row r="194">
      <x:c r="A194" t="str">
        <x:v>A1 Бронирование помещений</x:v>
      </x:c>
      <x:c r="B194" s="5" t="n">
        <x:v>1</x:v>
      </x:c>
      <x:c r="C194" s="5" t="n">
        <x:f>'Оценки'!D59</x:f>
        <x:v>3</x:v>
      </x:c>
      <x:c r="D194" s="5" t="n">
        <x:f>'Оценки'!D60</x:f>
        <x:v>1</x:v>
      </x:c>
      <x:c r="E194" s="5" t="n">
        <x:f>'Оценки'!D61</x:f>
        <x:v>2</x:v>
      </x:c>
      <x:c r="F194" s="5" t="n">
        <x:f>PRODUCT(B194:E194)^(1/4)</x:f>
        <x:v>1.5650845800732873</x:v>
      </x:c>
      <x:c r="G194" s="5" t="n">
        <x:f>F194/SUM($F$194:$F$197)</x:f>
        <x:v>0.35118690463818575</x:v>
      </x:c>
      <x:c r="H194" s="5" t="n">
        <x:f>B194*$G$194+C194*$G$195+D194*$G$196+E194*$G$197</x:f>
        <x:v>1.4065649373600688</x:v>
      </x:c>
      <x:c r="I194" s="5" t="n">
        <x:f>H194/G194</x:f>
        <x:v>4.005174790925642</x:v>
      </x:c>
    </x:row>
    <x:row r="195">
      <x:c r="A195" t="str">
        <x:v>A2 Учебные группы</x:v>
      </x:c>
      <x:c r="B195" s="5" t="n">
        <x:f>1/C194</x:f>
        <x:v>0.3333333333333333</x:v>
      </x:c>
      <x:c r="C195" s="5" t="n">
        <x:v>1</x:v>
      </x:c>
      <x:c r="D195" s="5" t="n">
        <x:f>'Оценки'!D62</x:f>
        <x:v>0.3333333333333333</x:v>
      </x:c>
      <x:c r="E195" s="5" t="n">
        <x:f>'Оценки'!D63</x:f>
        <x:v>0.5</x:v>
      </x:c>
      <x:c r="F195" s="5" t="n">
        <x:f>PRODUCT(B195:E195)^(1/4)</x:f>
        <x:v>0.48549177170732344</x:v>
      </x:c>
      <x:c r="G195" s="5" t="n">
        <x:f>F195/SUM($F$194:$F$197)</x:f>
        <x:v>0.10893874663644044</x:v>
      </x:c>
      <x:c r="H195" s="5" t="n">
        <x:f>B195*$G$194+C195*$G$195+D195*$G$196+E195*$G$197</x:f>
        <x:v>0.43740707177215826</x:v>
      </x:c>
      <x:c r="I195" s="5" t="n">
        <x:f>H195/G195</x:f>
        <x:v>4.015165267431523</x:v>
      </x:c>
    </x:row>
    <x:row r="196">
      <x:c r="A196" t="str">
        <x:v>A3 Студенческие события</x:v>
      </x:c>
      <x:c r="B196" s="5" t="n">
        <x:f>1/D194</x:f>
        <x:v>1</x:v>
      </x:c>
      <x:c r="C196" s="5" t="n">
        <x:f>1/D195</x:f>
        <x:v>3</x:v>
      </x:c>
      <x:c r="D196" s="5" t="n">
        <x:v>1</x:v>
      </x:c>
      <x:c r="E196" s="5" t="n">
        <x:f>'Оценки'!D64</x:f>
        <x:v>2</x:v>
      </x:c>
      <x:c r="F196" s="5" t="n">
        <x:f>PRODUCT(B196:E196)^(1/4)</x:f>
        <x:v>1.5650845800732873</x:v>
      </x:c>
      <x:c r="G196" s="5" t="n">
        <x:f>F196/SUM($F$194:$F$197)</x:f>
        <x:v>0.35118690463818575</x:v>
      </x:c>
      <x:c r="H196" s="5" t="n">
        <x:f>B196*$G$194+C196*$G$195+D196*$G$196+E196*$G$197</x:f>
        <x:v>1.4065649373600688</x:v>
      </x:c>
      <x:c r="I196" s="5" t="n">
        <x:f>H196/G196</x:f>
        <x:v>4.005174790925642</x:v>
      </x:c>
    </x:row>
    <x:row r="197">
      <x:c r="A197" t="str">
        <x:v>A4 Волонтёрские смены</x:v>
      </x:c>
      <x:c r="B197" s="5" t="n">
        <x:f>1/E194</x:f>
        <x:v>0.5</x:v>
      </x:c>
      <x:c r="C197" s="5" t="n">
        <x:f>1/E195</x:f>
        <x:v>2</x:v>
      </x:c>
      <x:c r="D197" s="5" t="n">
        <x:f>1/E196</x:f>
        <x:v>0.5</x:v>
      </x:c>
      <x:c r="E197" s="5" t="n">
        <x:v>1</x:v>
      </x:c>
      <x:c r="F197" s="5" t="n">
        <x:f>PRODUCT(B197:E197)^(1/4)</x:f>
        <x:v>0.8408964152537145</x:v>
      </x:c>
      <x:c r="G197" s="5" t="n">
        <x:f>F197/SUM($F$194:$F$197)</x:f>
        <x:v>0.188687444087188</x:v>
      </x:c>
      <x:c r="H197" s="5" t="n">
        <x:f>B197*$G$194+C197*$G$195+D197*$G$196+E197*$G$197</x:f>
        <x:v>0.7577518419982546</x:v>
      </x:c>
      <x:c r="I197" s="5" t="n">
        <x:f>H197/G197</x:f>
        <x:v>4.01591025658345</x:v>
      </x:c>
    </x:row>
    <x:row r="198">
      <x:c r="B198" s="5"/>
      <x:c r="C198" s="5"/>
      <x:c r="D198" s="5"/>
      <x:c r="E198" s="5"/>
      <x:c r="F198" s="5"/>
      <x:c r="G198" s="5"/>
      <x:c r="H198" s="5" t="str">
        <x:v>λmax</x:v>
      </x:c>
      <x:c r="I198" s="5" t="n">
        <x:f>AVERAGE(I194:I197)</x:f>
        <x:v>4.010356276466564</x:v>
      </x:c>
    </x:row>
    <x:row r="199">
      <x:c r="B199" s="5"/>
      <x:c r="C199" s="5"/>
      <x:c r="D199" s="5"/>
      <x:c r="E199" s="5"/>
      <x:c r="F199" s="5"/>
      <x:c r="G199" s="5"/>
      <x:c r="H199" s="5" t="str">
        <x:v>CI</x:v>
      </x:c>
      <x:c r="I199" s="5" t="n">
        <x:f>(I198-4)/3</x:f>
        <x:v>0.0034520921555213726</x:v>
      </x:c>
    </x:row>
    <x:row r="200">
      <x:c r="B200" s="5"/>
      <x:c r="C200" s="5"/>
      <x:c r="D200" s="5"/>
      <x:c r="E200" s="5"/>
      <x:c r="F200" s="5"/>
      <x:c r="G200" s="5"/>
      <x:c r="H200" s="5" t="str">
        <x:v>CR</x:v>
      </x:c>
      <x:c r="I200" s="5" t="n">
        <x:f>I199/0.9</x:f>
        <x:v>0.003835657950579303</x:v>
      </x:c>
    </x:row>
    <x:row r="202">
      <x:c r="A202" s="4" t="str">
        <x:v>C3 Ясность сценариев — Баулин Евгений</x:v>
      </x:c>
      <x:c r="B202" s="4"/>
      <x:c r="C202" s="4"/>
      <x:c r="D202" s="4"/>
      <x:c r="E202" s="4"/>
      <x:c r="F202" s="4"/>
      <x:c r="G202" s="4"/>
      <x:c r="H202" s="4"/>
      <x:c r="I202" s="4"/>
    </x:row>
    <x:row r="203">
      <x:c r="A203" s="8" t="str">
        <x:v>Элемент</x:v>
      </x:c>
      <x:c r="B203" s="8" t="str">
        <x:v>A1</x:v>
      </x:c>
      <x:c r="C203" s="8" t="str">
        <x:v>A2</x:v>
      </x:c>
      <x:c r="D203" s="8" t="str">
        <x:v>A3</x:v>
      </x:c>
      <x:c r="E203" s="8" t="str">
        <x:v>A4</x:v>
      </x:c>
      <x:c r="F203" s="8" t="str">
        <x:v>Геом. ср.</x:v>
      </x:c>
      <x:c r="G203" s="8" t="str">
        <x:v>Приоритет</x:v>
      </x:c>
      <x:c r="H203" s="8" t="str">
        <x:v>Aw</x:v>
      </x:c>
      <x:c r="I203" s="8" t="str">
        <x:v>Aw/w</x:v>
      </x:c>
    </x:row>
    <x:row r="204">
      <x:c r="A204" t="str">
        <x:v>A1 Бронирование помещений</x:v>
      </x:c>
      <x:c r="B204" s="5" t="n">
        <x:v>1</x:v>
      </x:c>
      <x:c r="C204" s="5" t="n">
        <x:f>'Оценки'!E59</x:f>
        <x:v>2</x:v>
      </x:c>
      <x:c r="D204" s="5" t="n">
        <x:f>'Оценки'!E60</x:f>
        <x:v>1</x:v>
      </x:c>
      <x:c r="E204" s="5" t="n">
        <x:f>'Оценки'!E61</x:f>
        <x:v>1</x:v>
      </x:c>
      <x:c r="F204" s="5" t="n">
        <x:f>PRODUCT(B204:E204)^(1/4)</x:f>
        <x:v>1.189207115002721</x:v>
      </x:c>
      <x:c r="G204" s="5" t="n">
        <x:f>F204/SUM($F$204:$F$207)</x:f>
        <x:v>0.2771026149464157</x:v>
      </x:c>
      <x:c r="H204" s="5" t="n">
        <x:f>B204*$G$204+C204*$G$205+D204*$G$206+E204*$G$207</x:f>
        <x:v>1.1251952390355544</x:v>
      </x:c>
      <x:c r="I204" s="5" t="n">
        <x:f>H204/G204</x:f>
        <x:v>4.060572431816053</x:v>
      </x:c>
    </x:row>
    <x:row r="205">
      <x:c r="A205" t="str">
        <x:v>A2 Учебные группы</x:v>
      </x:c>
      <x:c r="B205" s="5" t="n">
        <x:f>1/C204</x:f>
        <x:v>0.5</x:v>
      </x:c>
      <x:c r="C205" s="5" t="n">
        <x:v>1</x:v>
      </x:c>
      <x:c r="D205" s="5" t="n">
        <x:f>'Оценки'!E62</x:f>
        <x:v>0.3333333333333333</x:v>
      </x:c>
      <x:c r="E205" s="5" t="n">
        <x:f>'Оценки'!E63</x:f>
        <x:v>0.5</x:v>
      </x:c>
      <x:c r="F205" s="5" t="n">
        <x:f>PRODUCT(B205:E205)^(1/4)</x:f>
        <x:v>0.537284965911771</x:v>
      </x:c>
      <x:c r="G205" s="5" t="n">
        <x:f>F205/SUM($F$204:$F$207)</x:f>
        <x:v>0.1251952390355543</x:v>
      </x:c>
      <x:c r="H205" s="5" t="n">
        <x:f>B205*$G$204+C205*$G$205+D205*$G$206+E205*$G$207</x:f>
        <x:v>0.5018163611090841</x:v>
      </x:c>
      <x:c r="I205" s="5" t="n">
        <x:f>H205/G205</x:f>
        <x:v>4.008270322217069</x:v>
      </x:c>
    </x:row>
    <x:row r="206">
      <x:c r="A206" t="str">
        <x:v>A3 Студенческие события</x:v>
      </x:c>
      <x:c r="B206" s="5" t="n">
        <x:f>1/D204</x:f>
        <x:v>1</x:v>
      </x:c>
      <x:c r="C206" s="5" t="n">
        <x:f>1/D205</x:f>
        <x:v>3</x:v>
      </x:c>
      <x:c r="D206" s="5" t="n">
        <x:v>1</x:v>
      </x:c>
      <x:c r="E206" s="5" t="n">
        <x:f>'Оценки'!E64</x:f>
        <x:v>2</x:v>
      </x:c>
      <x:c r="F206" s="5" t="n">
        <x:f>PRODUCT(B206:E206)^(1/4)</x:f>
        <x:v>1.5650845800732873</x:v>
      </x:c>
      <x:c r="G206" s="5" t="n">
        <x:f>F206/SUM($F$204:$F$207)</x:f>
        <x:v>0.36468755045215867</x:v>
      </x:c>
      <x:c r="H206" s="5" t="n">
        <x:f>B206*$G$204+C206*$G$205+D206*$G$206+E206*$G$207</x:f>
        <x:v>1.48340507363698</x:v>
      </x:c>
      <x:c r="I206" s="5" t="n">
        <x:f>H206/G206</x:f>
        <x:v>4.067605466097696</x:v>
      </x:c>
    </x:row>
    <x:row r="207">
      <x:c r="A207" t="str">
        <x:v>A4 Волонтёрские смены</x:v>
      </x:c>
      <x:c r="B207" s="5" t="n">
        <x:f>1/E204</x:f>
        <x:v>1</x:v>
      </x:c>
      <x:c r="C207" s="5" t="n">
        <x:f>1/E205</x:f>
        <x:v>2</x:v>
      </x:c>
      <x:c r="D207" s="5" t="n">
        <x:f>1/E206</x:f>
        <x:v>0.5</x:v>
      </x:c>
      <x:c r="E207" s="5" t="n">
        <x:v>1</x:v>
      </x:c>
      <x:c r="F207" s="5" t="n">
        <x:f>PRODUCT(B207:E207)^(1/4)</x:f>
        <x:v>1</x:v>
      </x:c>
      <x:c r="G207" s="5" t="n">
        <x:f>F207/SUM($F$204:$F$207)</x:f>
        <x:v>0.23301459556587137</x:v>
      </x:c>
      <x:c r="H207" s="5" t="n">
        <x:f>B207*$G$204+C207*$G$205+D207*$G$206+E207*$G$207</x:f>
        <x:v>0.942851463809475</x:v>
      </x:c>
      <x:c r="I207" s="5" t="n">
        <x:f>H207/G207</x:f>
        <x:v>4.046319336862907</x:v>
      </x:c>
    </x:row>
    <x:row r="208">
      <x:c r="B208" s="5"/>
      <x:c r="C208" s="5"/>
      <x:c r="D208" s="5"/>
      <x:c r="E208" s="5"/>
      <x:c r="F208" s="5"/>
      <x:c r="G208" s="5"/>
      <x:c r="H208" s="5" t="str">
        <x:v>λmax</x:v>
      </x:c>
      <x:c r="I208" s="5" t="n">
        <x:f>AVERAGE(I204:I207)</x:f>
        <x:v>4.045691889248431</x:v>
      </x:c>
    </x:row>
    <x:row r="209">
      <x:c r="B209" s="5"/>
      <x:c r="C209" s="5"/>
      <x:c r="D209" s="5"/>
      <x:c r="E209" s="5"/>
      <x:c r="F209" s="5"/>
      <x:c r="G209" s="5"/>
      <x:c r="H209" s="5" t="str">
        <x:v>CI</x:v>
      </x:c>
      <x:c r="I209" s="5" t="n">
        <x:f>(I208-4)/3</x:f>
        <x:v>0.015230629749477012</x:v>
      </x:c>
    </x:row>
    <x:row r="210">
      <x:c r="B210" s="5"/>
      <x:c r="C210" s="5"/>
      <x:c r="D210" s="5"/>
      <x:c r="E210" s="5"/>
      <x:c r="F210" s="5"/>
      <x:c r="G210" s="5"/>
      <x:c r="H210" s="5" t="str">
        <x:v>CR</x:v>
      </x:c>
      <x:c r="I210" s="5" t="n">
        <x:f>I209/0.9</x:f>
        <x:v>0.016922921943863346</x:v>
      </x:c>
    </x:row>
    <x:row r="212">
      <x:c r="A212" s="4" t="str">
        <x:v>C3 Ясность сценариев — Миленин Никита</x:v>
      </x:c>
      <x:c r="B212" s="4"/>
      <x:c r="C212" s="4"/>
      <x:c r="D212" s="4"/>
      <x:c r="E212" s="4"/>
      <x:c r="F212" s="4"/>
      <x:c r="G212" s="4"/>
      <x:c r="H212" s="4"/>
      <x:c r="I212" s="4"/>
    </x:row>
    <x:row r="213">
      <x:c r="A213" s="8" t="str">
        <x:v>Элемент</x:v>
      </x:c>
      <x:c r="B213" s="8" t="str">
        <x:v>A1</x:v>
      </x:c>
      <x:c r="C213" s="8" t="str">
        <x:v>A2</x:v>
      </x:c>
      <x:c r="D213" s="8" t="str">
        <x:v>A3</x:v>
      </x:c>
      <x:c r="E213" s="8" t="str">
        <x:v>A4</x:v>
      </x:c>
      <x:c r="F213" s="8" t="str">
        <x:v>Геом. ср.</x:v>
      </x:c>
      <x:c r="G213" s="8" t="str">
        <x:v>Приоритет</x:v>
      </x:c>
      <x:c r="H213" s="8" t="str">
        <x:v>Aw</x:v>
      </x:c>
      <x:c r="I213" s="8" t="str">
        <x:v>Aw/w</x:v>
      </x:c>
    </x:row>
    <x:row r="214">
      <x:c r="A214" t="str">
        <x:v>A1 Бронирование помещений</x:v>
      </x:c>
      <x:c r="B214" s="5" t="n">
        <x:v>1</x:v>
      </x:c>
      <x:c r="C214" s="5" t="n">
        <x:f>'Оценки'!F59</x:f>
        <x:v>3</x:v>
      </x:c>
      <x:c r="D214" s="5" t="n">
        <x:f>'Оценки'!F60</x:f>
        <x:v>1</x:v>
      </x:c>
      <x:c r="E214" s="5" t="n">
        <x:f>'Оценки'!F61</x:f>
        <x:v>1</x:v>
      </x:c>
      <x:c r="F214" s="5" t="n">
        <x:f>PRODUCT(B214:E214)^(1/4)</x:f>
        <x:v>1.3160740129524924</x:v>
      </x:c>
      <x:c r="G214" s="5" t="n">
        <x:f>F214/SUM($F$214:$F$217)</x:f>
        <x:v>0.31099823832572826</x:v>
      </x:c>
      <x:c r="H214" s="5" t="n">
        <x:f>B214*$G$214+C214*$G$215+D214*$G$216+E214*$G$217</x:f>
        <x:v>1.2539289982675033</x:v>
      </x:c>
      <x:c r="I214" s="5" t="n">
        <x:f>H214/G214</x:f>
        <x:v>4.031948878611279</x:v>
      </x:c>
    </x:row>
    <x:row r="215">
      <x:c r="A215" t="str">
        <x:v>A2 Учебные группы</x:v>
      </x:c>
      <x:c r="B215" s="5" t="n">
        <x:f>1/C214</x:f>
        <x:v>0.3333333333333333</x:v>
      </x:c>
      <x:c r="C215" s="5" t="n">
        <x:v>1</x:v>
      </x:c>
      <x:c r="D215" s="5" t="n">
        <x:f>'Оценки'!F62</x:f>
        <x:v>0.5</x:v>
      </x:c>
      <x:c r="E215" s="5" t="n">
        <x:f>'Оценки'!F63</x:f>
        <x:v>0.5</x:v>
      </x:c>
      <x:c r="F215" s="5" t="n">
        <x:f>PRODUCT(B215:E215)^(1/4)</x:f>
        <x:v>0.537284965911771</x:v>
      </x:c>
      <x:c r="G215" s="5" t="n">
        <x:f>F215/SUM($F$214:$F$217)</x:f>
        <x:v>0.12696449913375163</x:v>
      </x:c>
      <x:c r="H215" s="5" t="n">
        <x:f>B215*$G$214+C215*$G$215+D215*$G$216+E215*$G$217</x:f>
        <x:v>0.5116492098459211</x:v>
      </x:c>
      <x:c r="I215" s="5" t="n">
        <x:f>H215/G215</x:f>
        <x:v>4.029860420328369</x:v>
      </x:c>
    </x:row>
    <x:row r="216">
      <x:c r="A216" t="str">
        <x:v>A3 Студенческие события</x:v>
      </x:c>
      <x:c r="B216" s="5" t="n">
        <x:f>1/D214</x:f>
        <x:v>1</x:v>
      </x:c>
      <x:c r="C216" s="5" t="n">
        <x:f>1/D215</x:f>
        <x:v>2</x:v>
      </x:c>
      <x:c r="D216" s="5" t="n">
        <x:v>1</x:v>
      </x:c>
      <x:c r="E216" s="5" t="n">
        <x:f>'Оценки'!F64</x:f>
        <x:v>1</x:v>
      </x:c>
      <x:c r="F216" s="5" t="n">
        <x:f>PRODUCT(B216:E216)^(1/4)</x:f>
        <x:v>1.189207115002721</x:v>
      </x:c>
      <x:c r="G216" s="5" t="n">
        <x:f>F216/SUM($F$214:$F$217)</x:f>
        <x:v>0.2810186312702601</x:v>
      </x:c>
      <x:c r="H216" s="5" t="n">
        <x:f>B216*$G$214+C216*$G$215+D216*$G$216+E216*$G$217</x:f>
        <x:v>1.1269644991337517</x:v>
      </x:c>
      <x:c r="I216" s="5" t="n">
        <x:f>H216/G216</x:f>
        <x:v>4.010283923310166</x:v>
      </x:c>
    </x:row>
    <x:row r="217">
      <x:c r="A217" t="str">
        <x:v>A4 Волонтёрские смены</x:v>
      </x:c>
      <x:c r="B217" s="5" t="n">
        <x:f>1/E214</x:f>
        <x:v>1</x:v>
      </x:c>
      <x:c r="C217" s="5" t="n">
        <x:f>1/E215</x:f>
        <x:v>2</x:v>
      </x:c>
      <x:c r="D217" s="5" t="n">
        <x:f>1/E216</x:f>
        <x:v>1</x:v>
      </x:c>
      <x:c r="E217" s="5" t="n">
        <x:v>1</x:v>
      </x:c>
      <x:c r="F217" s="5" t="n">
        <x:f>PRODUCT(B217:E217)^(1/4)</x:f>
        <x:v>1.189207115002721</x:v>
      </x:c>
      <x:c r="G217" s="5" t="n">
        <x:f>F217/SUM($F$214:$F$217)</x:f>
        <x:v>0.2810186312702601</x:v>
      </x:c>
      <x:c r="H217" s="5" t="n">
        <x:f>B217*$G$214+C217*$G$215+D217*$G$216+E217*$G$217</x:f>
        <x:v>1.1269644991337517</x:v>
      </x:c>
      <x:c r="I217" s="5" t="n">
        <x:f>H217/G217</x:f>
        <x:v>4.010283923310166</x:v>
      </x:c>
    </x:row>
    <x:row r="218">
      <x:c r="B218" s="5"/>
      <x:c r="C218" s="5"/>
      <x:c r="D218" s="5"/>
      <x:c r="E218" s="5"/>
      <x:c r="F218" s="5"/>
      <x:c r="G218" s="5"/>
      <x:c r="H218" s="5" t="str">
        <x:v>λmax</x:v>
      </x:c>
      <x:c r="I218" s="5" t="n">
        <x:f>AVERAGE(I214:I217)</x:f>
        <x:v>4.020594286389994</x:v>
      </x:c>
    </x:row>
    <x:row r="219">
      <x:c r="B219" s="5"/>
      <x:c r="C219" s="5"/>
      <x:c r="D219" s="5"/>
      <x:c r="E219" s="5"/>
      <x:c r="F219" s="5"/>
      <x:c r="G219" s="5"/>
      <x:c r="H219" s="5" t="str">
        <x:v>CI</x:v>
      </x:c>
      <x:c r="I219" s="5" t="n">
        <x:f>(I218-4)/3</x:f>
        <x:v>0.006864762129998129</x:v>
      </x:c>
    </x:row>
    <x:row r="220">
      <x:c r="B220" s="5"/>
      <x:c r="C220" s="5"/>
      <x:c r="D220" s="5"/>
      <x:c r="E220" s="5"/>
      <x:c r="F220" s="5"/>
      <x:c r="G220" s="5"/>
      <x:c r="H220" s="5" t="str">
        <x:v>CR</x:v>
      </x:c>
      <x:c r="I220" s="5" t="n">
        <x:f>I219/0.9</x:f>
        <x:v>0.007627513477775699</x:v>
      </x:c>
    </x:row>
    <x:row r="222">
      <x:c r="A222" s="4" t="str">
        <x:v>C3 Ясность сценариев — Соу Мамаду</x:v>
      </x:c>
      <x:c r="B222" s="4"/>
      <x:c r="C222" s="4"/>
      <x:c r="D222" s="4"/>
      <x:c r="E222" s="4"/>
      <x:c r="F222" s="4"/>
      <x:c r="G222" s="4"/>
      <x:c r="H222" s="4"/>
      <x:c r="I222" s="4"/>
    </x:row>
    <x:row r="223">
      <x:c r="A223" s="8" t="str">
        <x:v>Элемент</x:v>
      </x:c>
      <x:c r="B223" s="8" t="str">
        <x:v>A1</x:v>
      </x:c>
      <x:c r="C223" s="8" t="str">
        <x:v>A2</x:v>
      </x:c>
      <x:c r="D223" s="8" t="str">
        <x:v>A3</x:v>
      </x:c>
      <x:c r="E223" s="8" t="str">
        <x:v>A4</x:v>
      </x:c>
      <x:c r="F223" s="8" t="str">
        <x:v>Геом. ср.</x:v>
      </x:c>
      <x:c r="G223" s="8" t="str">
        <x:v>Приоритет</x:v>
      </x:c>
      <x:c r="H223" s="8" t="str">
        <x:v>Aw</x:v>
      </x:c>
      <x:c r="I223" s="8" t="str">
        <x:v>Aw/w</x:v>
      </x:c>
    </x:row>
    <x:row r="224">
      <x:c r="A224" t="str">
        <x:v>A1 Бронирование помещений</x:v>
      </x:c>
      <x:c r="B224" s="5" t="n">
        <x:v>1</x:v>
      </x:c>
      <x:c r="C224" s="5" t="n">
        <x:f>'Оценки'!G59</x:f>
        <x:v>1</x:v>
      </x:c>
      <x:c r="D224" s="5" t="n">
        <x:f>'Оценки'!G60</x:f>
        <x:v>1</x:v>
      </x:c>
      <x:c r="E224" s="5" t="n">
        <x:f>'Оценки'!G61</x:f>
        <x:v>1</x:v>
      </x:c>
      <x:c r="F224" s="5" t="n">
        <x:f>PRODUCT(B224:E224)^(1/4)</x:f>
        <x:v>1</x:v>
      </x:c>
      <x:c r="G224" s="5" t="n">
        <x:f>F224/SUM($F$224:$F$227)</x:f>
        <x:v>0.24414024395522196</x:v>
      </x:c>
      <x:c r="H224" s="5" t="n">
        <x:f>B224*$G$224+C224*$G$225+D224*$G$226+E224*$G$227</x:f>
        <x:v>0.9999999999999999</x:v>
      </x:c>
      <x:c r="I224" s="5" t="n">
        <x:f>H224/G224</x:f>
        <x:v>4.096006392880524</x:v>
      </x:c>
    </x:row>
    <x:row r="225">
      <x:c r="A225" t="str">
        <x:v>A2 Учебные группы</x:v>
      </x:c>
      <x:c r="B225" s="5" t="n">
        <x:f>1/C224</x:f>
        <x:v>1</x:v>
      </x:c>
      <x:c r="C225" s="5" t="n">
        <x:v>1</x:v>
      </x:c>
      <x:c r="D225" s="5" t="n">
        <x:f>'Оценки'!G62</x:f>
        <x:v>0.5</x:v>
      </x:c>
      <x:c r="E225" s="5" t="n">
        <x:f>'Оценки'!G63</x:f>
        <x:v>1</x:v>
      </x:c>
      <x:c r="F225" s="5" t="n">
        <x:f>PRODUCT(B225:E225)^(1/4)</x:f>
        <x:v>0.8408964152537145</x:v>
      </x:c>
      <x:c r="G225" s="5" t="n">
        <x:f>F225/SUM($F$224:$F$227)</x:f>
        <x:v>0.2052966559611135</x:v>
      </x:c>
      <x:c r="H225" s="5" t="n">
        <x:f>B225*$G$224+C225*$G$225+D225*$G$226+E225*$G$227</x:f>
        <x:v>0.8273667779387244</x:v>
      </x:c>
      <x:c r="I225" s="5" t="n">
        <x:f>H225/G225</x:f>
        <x:v>4.030103530256436</x:v>
      </x:c>
    </x:row>
    <x:row r="226">
      <x:c r="A226" t="str">
        <x:v>A3 Студенческие события</x:v>
      </x:c>
      <x:c r="B226" s="5" t="n">
        <x:f>1/D224</x:f>
        <x:v>1</x:v>
      </x:c>
      <x:c r="C226" s="5" t="n">
        <x:f>1/D225</x:f>
        <x:v>2</x:v>
      </x:c>
      <x:c r="D226" s="5" t="n">
        <x:v>1</x:v>
      </x:c>
      <x:c r="E226" s="5" t="n">
        <x:f>'Оценки'!G64</x:f>
        <x:v>2</x:v>
      </x:c>
      <x:c r="F226" s="5" t="n">
        <x:f>PRODUCT(B226:E226)^(1/4)</x:f>
        <x:v>1.4142135623730951</x:v>
      </x:c>
      <x:c r="G226" s="5" t="n">
        <x:f>F226/SUM($F$224:$F$227)</x:f>
        <x:v>0.345266444122551</x:v>
      </x:c>
      <x:c r="H226" s="5" t="n">
        <x:f>B226*$G$224+C226*$G$225+D226*$G$226+E226*$G$227</x:f>
        <x:v>1.410593311922227</x:v>
      </x:c>
      <x:c r="I226" s="5" t="n">
        <x:f>H226/G226</x:f>
        <x:v>4.0855210111919895</x:v>
      </x:c>
    </x:row>
    <x:row r="227">
      <x:c r="A227" t="str">
        <x:v>A4 Волонтёрские смены</x:v>
      </x:c>
      <x:c r="B227" s="5" t="n">
        <x:f>1/E224</x:f>
        <x:v>1</x:v>
      </x:c>
      <x:c r="C227" s="5" t="n">
        <x:f>1/E225</x:f>
        <x:v>1</x:v>
      </x:c>
      <x:c r="D227" s="5" t="n">
        <x:f>1/E226</x:f>
        <x:v>0.5</x:v>
      </x:c>
      <x:c r="E227" s="5" t="n">
        <x:v>1</x:v>
      </x:c>
      <x:c r="F227" s="5" t="n">
        <x:f>PRODUCT(B227:E227)^(1/4)</x:f>
        <x:v>0.8408964152537145</x:v>
      </x:c>
      <x:c r="G227" s="5" t="n">
        <x:f>F227/SUM($F$224:$F$227)</x:f>
        <x:v>0.2052966559611135</x:v>
      </x:c>
      <x:c r="H227" s="5" t="n">
        <x:f>B227*$G$224+C227*$G$225+D227*$G$226+E227*$G$227</x:f>
        <x:v>0.8273667779387244</x:v>
      </x:c>
      <x:c r="I227" s="5" t="n">
        <x:f>H227/G227</x:f>
        <x:v>4.030103530256436</x:v>
      </x:c>
    </x:row>
    <x:row r="228">
      <x:c r="B228" s="5"/>
      <x:c r="C228" s="5"/>
      <x:c r="D228" s="5"/>
      <x:c r="E228" s="5"/>
      <x:c r="F228" s="5"/>
      <x:c r="G228" s="5"/>
      <x:c r="H228" s="5" t="str">
        <x:v>λmax</x:v>
      </x:c>
      <x:c r="I228" s="5" t="n">
        <x:f>AVERAGE(I224:I227)</x:f>
        <x:v>4.060433616146346</x:v>
      </x:c>
    </x:row>
    <x:row r="229">
      <x:c r="B229" s="5"/>
      <x:c r="C229" s="5"/>
      <x:c r="D229" s="5"/>
      <x:c r="E229" s="5"/>
      <x:c r="F229" s="5"/>
      <x:c r="G229" s="5"/>
      <x:c r="H229" s="5" t="str">
        <x:v>CI</x:v>
      </x:c>
      <x:c r="I229" s="5" t="n">
        <x:f>(I228-4)/3</x:f>
        <x:v>0.020144538715448707</x:v>
      </x:c>
    </x:row>
    <x:row r="230">
      <x:c r="B230" s="5"/>
      <x:c r="C230" s="5"/>
      <x:c r="D230" s="5"/>
      <x:c r="E230" s="5"/>
      <x:c r="F230" s="5"/>
      <x:c r="G230" s="5"/>
      <x:c r="H230" s="5" t="str">
        <x:v>CR</x:v>
      </x:c>
      <x:c r="I230" s="5" t="n">
        <x:f>I229/0.9</x:f>
        <x:v>0.02238282079494301</x:v>
      </x:c>
    </x:row>
    <x:row r="232">
      <x:c r="A232" s="4" t="str">
        <x:v>C4 Пригодность для планирования — Роман Иванин</x:v>
      </x:c>
      <x:c r="B232" s="4"/>
      <x:c r="C232" s="4"/>
      <x:c r="D232" s="4"/>
      <x:c r="E232" s="4"/>
      <x:c r="F232" s="4"/>
      <x:c r="G232" s="4"/>
      <x:c r="H232" s="4"/>
      <x:c r="I232" s="4"/>
    </x:row>
    <x:row r="233">
      <x:c r="A233" s="8" t="str">
        <x:v>Элемент</x:v>
      </x:c>
      <x:c r="B233" s="8" t="str">
        <x:v>A1</x:v>
      </x:c>
      <x:c r="C233" s="8" t="str">
        <x:v>A2</x:v>
      </x:c>
      <x:c r="D233" s="8" t="str">
        <x:v>A3</x:v>
      </x:c>
      <x:c r="E233" s="8" t="str">
        <x:v>A4</x:v>
      </x:c>
      <x:c r="F233" s="8" t="str">
        <x:v>Геом. ср.</x:v>
      </x:c>
      <x:c r="G233" s="8" t="str">
        <x:v>Приоритет</x:v>
      </x:c>
      <x:c r="H233" s="8" t="str">
        <x:v>Aw</x:v>
      </x:c>
      <x:c r="I233" s="8" t="str">
        <x:v>Aw/w</x:v>
      </x:c>
    </x:row>
    <x:row r="234">
      <x:c r="A234" t="str">
        <x:v>A1 Бронирование помещений</x:v>
      </x:c>
      <x:c r="B234" s="5" t="n">
        <x:v>1</x:v>
      </x:c>
      <x:c r="C234" s="5" t="n">
        <x:f>'Оценки'!D65</x:f>
        <x:v>2</x:v>
      </x:c>
      <x:c r="D234" s="5" t="n">
        <x:f>'Оценки'!D66</x:f>
        <x:v>1</x:v>
      </x:c>
      <x:c r="E234" s="5" t="n">
        <x:f>'Оценки'!D67</x:f>
        <x:v>0.5</x:v>
      </x:c>
      <x:c r="F234" s="5" t="n">
        <x:f>PRODUCT(B234:E234)^(1/4)</x:f>
        <x:v>1</x:v>
      </x:c>
      <x:c r="G234" s="5" t="n">
        <x:f>F234/SUM($F$234:$F$237)</x:f>
        <x:v>0.23301459556587137</x:v>
      </x:c>
      <x:c r="H234" s="5" t="n">
        <x:f>B234*$G$234+C234*$G$235+D234*$G$236+E234*$G$237</x:f>
        <x:v>0.942851463809475</x:v>
      </x:c>
      <x:c r="I234" s="5" t="n">
        <x:f>H234/G234</x:f>
        <x:v>4.046319336862907</x:v>
      </x:c>
    </x:row>
    <x:row r="235">
      <x:c r="A235" t="str">
        <x:v>A2 Учебные группы</x:v>
      </x:c>
      <x:c r="B235" s="5" t="n">
        <x:f>1/C234</x:f>
        <x:v>0.5</x:v>
      </x:c>
      <x:c r="C235" s="5" t="n">
        <x:v>1</x:v>
      </x:c>
      <x:c r="D235" s="5" t="n">
        <x:f>'Оценки'!D68</x:f>
        <x:v>0.5</x:v>
      </x:c>
      <x:c r="E235" s="5" t="n">
        <x:f>'Оценки'!D69</x:f>
        <x:v>0.3333333333333333</x:v>
      </x:c>
      <x:c r="F235" s="5" t="n">
        <x:f>PRODUCT(B235:E235)^(1/4)</x:f>
        <x:v>0.537284965911771</x:v>
      </x:c>
      <x:c r="G235" s="5" t="n">
        <x:f>F235/SUM($F$234:$F$237)</x:f>
        <x:v>0.1251952390355543</x:v>
      </x:c>
      <x:c r="H235" s="5" t="n">
        <x:f>B235*$G$234+C235*$G$235+D235*$G$236+E235*$G$237</x:f>
        <x:v>0.501816361109084</x:v>
      </x:c>
      <x:c r="I235" s="5" t="n">
        <x:f>H235/G235</x:f>
        <x:v>4.008270322217068</x:v>
      </x:c>
    </x:row>
    <x:row r="236">
      <x:c r="A236" t="str">
        <x:v>A3 Студенческие события</x:v>
      </x:c>
      <x:c r="B236" s="5" t="n">
        <x:f>1/D234</x:f>
        <x:v>1</x:v>
      </x:c>
      <x:c r="C236" s="5" t="n">
        <x:f>1/D235</x:f>
        <x:v>2</x:v>
      </x:c>
      <x:c r="D236" s="5" t="n">
        <x:v>1</x:v>
      </x:c>
      <x:c r="E236" s="5" t="n">
        <x:f>'Оценки'!D70</x:f>
        <x:v>1</x:v>
      </x:c>
      <x:c r="F236" s="5" t="n">
        <x:f>PRODUCT(B236:E236)^(1/4)</x:f>
        <x:v>1.189207115002721</x:v>
      </x:c>
      <x:c r="G236" s="5" t="n">
        <x:f>F236/SUM($F$234:$F$237)</x:f>
        <x:v>0.2771026149464157</x:v>
      </x:c>
      <x:c r="H236" s="5" t="n">
        <x:f>B236*$G$234+C236*$G$235+D236*$G$236+E236*$G$237</x:f>
        <x:v>1.1251952390355544</x:v>
      </x:c>
      <x:c r="I236" s="5" t="n">
        <x:f>H236/G236</x:f>
        <x:v>4.060572431816053</x:v>
      </x:c>
    </x:row>
    <x:row r="237">
      <x:c r="A237" t="str">
        <x:v>A4 Волонтёрские смены</x:v>
      </x:c>
      <x:c r="B237" s="5" t="n">
        <x:f>1/E234</x:f>
        <x:v>2</x:v>
      </x:c>
      <x:c r="C237" s="5" t="n">
        <x:f>1/E235</x:f>
        <x:v>3</x:v>
      </x:c>
      <x:c r="D237" s="5" t="n">
        <x:f>1/E236</x:f>
        <x:v>1</x:v>
      </x:c>
      <x:c r="E237" s="5" t="n">
        <x:v>1</x:v>
      </x:c>
      <x:c r="F237" s="5" t="n">
        <x:f>PRODUCT(B237:E237)^(1/4)</x:f>
        <x:v>1.5650845800732873</x:v>
      </x:c>
      <x:c r="G237" s="5" t="n">
        <x:f>F237/SUM($F$234:$F$237)</x:f>
        <x:v>0.36468755045215867</x:v>
      </x:c>
      <x:c r="H237" s="5" t="n">
        <x:f>B237*$G$234+C237*$G$235+D237*$G$236+E237*$G$237</x:f>
        <x:v>1.4834050736369802</x:v>
      </x:c>
      <x:c r="I237" s="5" t="n">
        <x:f>H237/G237</x:f>
        <x:v>4.067605466097697</x:v>
      </x:c>
    </x:row>
    <x:row r="238">
      <x:c r="B238" s="5"/>
      <x:c r="C238" s="5"/>
      <x:c r="D238" s="5"/>
      <x:c r="E238" s="5"/>
      <x:c r="F238" s="5"/>
      <x:c r="G238" s="5"/>
      <x:c r="H238" s="5" t="str">
        <x:v>λmax</x:v>
      </x:c>
      <x:c r="I238" s="5" t="n">
        <x:f>AVERAGE(I234:I237)</x:f>
        <x:v>4.045691889248431</x:v>
      </x:c>
    </x:row>
    <x:row r="239">
      <x:c r="B239" s="5"/>
      <x:c r="C239" s="5"/>
      <x:c r="D239" s="5"/>
      <x:c r="E239" s="5"/>
      <x:c r="F239" s="5"/>
      <x:c r="G239" s="5"/>
      <x:c r="H239" s="5" t="str">
        <x:v>CI</x:v>
      </x:c>
      <x:c r="I239" s="5" t="n">
        <x:f>(I238-4)/3</x:f>
        <x:v>0.015230629749477012</x:v>
      </x:c>
    </x:row>
    <x:row r="240">
      <x:c r="B240" s="5"/>
      <x:c r="C240" s="5"/>
      <x:c r="D240" s="5"/>
      <x:c r="E240" s="5"/>
      <x:c r="F240" s="5"/>
      <x:c r="G240" s="5"/>
      <x:c r="H240" s="5" t="str">
        <x:v>CR</x:v>
      </x:c>
      <x:c r="I240" s="5" t="n">
        <x:f>I239/0.9</x:f>
        <x:v>0.016922921943863346</x:v>
      </x:c>
    </x:row>
    <x:row r="242">
      <x:c r="A242" s="4" t="str">
        <x:v>C4 Пригодность для планирования — Баулин Евгений</x:v>
      </x:c>
      <x:c r="B242" s="4"/>
      <x:c r="C242" s="4"/>
      <x:c r="D242" s="4"/>
      <x:c r="E242" s="4"/>
      <x:c r="F242" s="4"/>
      <x:c r="G242" s="4"/>
      <x:c r="H242" s="4"/>
      <x:c r="I242" s="4"/>
    </x:row>
    <x:row r="243">
      <x:c r="A243" s="8" t="str">
        <x:v>Элемент</x:v>
      </x:c>
      <x:c r="B243" s="8" t="str">
        <x:v>A1</x:v>
      </x:c>
      <x:c r="C243" s="8" t="str">
        <x:v>A2</x:v>
      </x:c>
      <x:c r="D243" s="8" t="str">
        <x:v>A3</x:v>
      </x:c>
      <x:c r="E243" s="8" t="str">
        <x:v>A4</x:v>
      </x:c>
      <x:c r="F243" s="8" t="str">
        <x:v>Геом. ср.</x:v>
      </x:c>
      <x:c r="G243" s="8" t="str">
        <x:v>Приоритет</x:v>
      </x:c>
      <x:c r="H243" s="8" t="str">
        <x:v>Aw</x:v>
      </x:c>
      <x:c r="I243" s="8" t="str">
        <x:v>Aw/w</x:v>
      </x:c>
    </x:row>
    <x:row r="244">
      <x:c r="A244" t="str">
        <x:v>A1 Бронирование помещений</x:v>
      </x:c>
      <x:c r="B244" s="5" t="n">
        <x:v>1</x:v>
      </x:c>
      <x:c r="C244" s="5" t="n">
        <x:f>'Оценки'!E65</x:f>
        <x:v>2</x:v>
      </x:c>
      <x:c r="D244" s="5" t="n">
        <x:f>'Оценки'!E66</x:f>
        <x:v>1</x:v>
      </x:c>
      <x:c r="E244" s="5" t="n">
        <x:f>'Оценки'!E67</x:f>
        <x:v>1</x:v>
      </x:c>
      <x:c r="F244" s="5" t="n">
        <x:f>PRODUCT(B244:E244)^(1/4)</x:f>
        <x:v>1.189207115002721</x:v>
      </x:c>
      <x:c r="G244" s="5" t="n">
        <x:f>F244/SUM($F$244:$F$247)</x:f>
        <x:v>0.28571428571428575</x:v>
      </x:c>
      <x:c r="H244" s="5" t="n">
        <x:f>B244*$G$244+C244*$G$245+D244*$G$246+E244*$G$247</x:f>
        <x:v>1.142857142857143</x:v>
      </x:c>
      <x:c r="I244" s="5" t="n">
        <x:f>H244/G244</x:f>
        <x:v>4</x:v>
      </x:c>
    </x:row>
    <x:row r="245">
      <x:c r="A245" t="str">
        <x:v>A2 Учебные группы</x:v>
      </x:c>
      <x:c r="B245" s="5" t="n">
        <x:f>1/C244</x:f>
        <x:v>0.5</x:v>
      </x:c>
      <x:c r="C245" s="5" t="n">
        <x:v>1</x:v>
      </x:c>
      <x:c r="D245" s="5" t="n">
        <x:f>'Оценки'!E68</x:f>
        <x:v>0.5</x:v>
      </x:c>
      <x:c r="E245" s="5" t="n">
        <x:f>'Оценки'!E69</x:f>
        <x:v>0.5</x:v>
      </x:c>
      <x:c r="F245" s="5" t="n">
        <x:f>PRODUCT(B245:E245)^(1/4)</x:f>
        <x:v>0.5946035575013605</x:v>
      </x:c>
      <x:c r="G245" s="5" t="n">
        <x:f>F245/SUM($F$244:$F$247)</x:f>
        <x:v>0.14285714285714288</x:v>
      </x:c>
      <x:c r="H245" s="5" t="n">
        <x:f>B245*$G$244+C245*$G$245+D245*$G$246+E245*$G$247</x:f>
        <x:v>0.5714285714285715</x:v>
      </x:c>
      <x:c r="I245" s="5" t="n">
        <x:f>H245/G245</x:f>
        <x:v>4</x:v>
      </x:c>
    </x:row>
    <x:row r="246">
      <x:c r="A246" t="str">
        <x:v>A3 Студенческие события</x:v>
      </x:c>
      <x:c r="B246" s="5" t="n">
        <x:f>1/D244</x:f>
        <x:v>1</x:v>
      </x:c>
      <x:c r="C246" s="5" t="n">
        <x:f>1/D245</x:f>
        <x:v>2</x:v>
      </x:c>
      <x:c r="D246" s="5" t="n">
        <x:v>1</x:v>
      </x:c>
      <x:c r="E246" s="5" t="n">
        <x:f>'Оценки'!E70</x:f>
        <x:v>1</x:v>
      </x:c>
      <x:c r="F246" s="5" t="n">
        <x:f>PRODUCT(B246:E246)^(1/4)</x:f>
        <x:v>1.189207115002721</x:v>
      </x:c>
      <x:c r="G246" s="5" t="n">
        <x:f>F246/SUM($F$244:$F$247)</x:f>
        <x:v>0.28571428571428575</x:v>
      </x:c>
      <x:c r="H246" s="5" t="n">
        <x:f>B246*$G$244+C246*$G$245+D246*$G$246+E246*$G$247</x:f>
        <x:v>1.142857142857143</x:v>
      </x:c>
      <x:c r="I246" s="5" t="n">
        <x:f>H246/G246</x:f>
        <x:v>4</x:v>
      </x:c>
    </x:row>
    <x:row r="247">
      <x:c r="A247" t="str">
        <x:v>A4 Волонтёрские смены</x:v>
      </x:c>
      <x:c r="B247" s="5" t="n">
        <x:f>1/E244</x:f>
        <x:v>1</x:v>
      </x:c>
      <x:c r="C247" s="5" t="n">
        <x:f>1/E245</x:f>
        <x:v>2</x:v>
      </x:c>
      <x:c r="D247" s="5" t="n">
        <x:f>1/E246</x:f>
        <x:v>1</x:v>
      </x:c>
      <x:c r="E247" s="5" t="n">
        <x:v>1</x:v>
      </x:c>
      <x:c r="F247" s="5" t="n">
        <x:f>PRODUCT(B247:E247)^(1/4)</x:f>
        <x:v>1.189207115002721</x:v>
      </x:c>
      <x:c r="G247" s="5" t="n">
        <x:f>F247/SUM($F$244:$F$247)</x:f>
        <x:v>0.28571428571428575</x:v>
      </x:c>
      <x:c r="H247" s="5" t="n">
        <x:f>B247*$G$244+C247*$G$245+D247*$G$246+E247*$G$247</x:f>
        <x:v>1.142857142857143</x:v>
      </x:c>
      <x:c r="I247" s="5" t="n">
        <x:f>H247/G247</x:f>
        <x:v>4</x:v>
      </x:c>
    </x:row>
    <x:row r="248">
      <x:c r="B248" s="5"/>
      <x:c r="C248" s="5"/>
      <x:c r="D248" s="5"/>
      <x:c r="E248" s="5"/>
      <x:c r="F248" s="5"/>
      <x:c r="G248" s="5"/>
      <x:c r="H248" s="5" t="str">
        <x:v>λmax</x:v>
      </x:c>
      <x:c r="I248" s="5" t="n">
        <x:f>AVERAGE(I244:I247)</x:f>
        <x:v>4</x:v>
      </x:c>
    </x:row>
    <x:row r="249">
      <x:c r="B249" s="5"/>
      <x:c r="C249" s="5"/>
      <x:c r="D249" s="5"/>
      <x:c r="E249" s="5"/>
      <x:c r="F249" s="5"/>
      <x:c r="G249" s="5"/>
      <x:c r="H249" s="5" t="str">
        <x:v>CI</x:v>
      </x:c>
      <x:c r="I249" s="5" t="n">
        <x:f>(I248-4)/3</x:f>
        <x:v>0</x:v>
      </x:c>
    </x:row>
    <x:row r="250">
      <x:c r="B250" s="5"/>
      <x:c r="C250" s="5"/>
      <x:c r="D250" s="5"/>
      <x:c r="E250" s="5"/>
      <x:c r="F250" s="5"/>
      <x:c r="G250" s="5"/>
      <x:c r="H250" s="5" t="str">
        <x:v>CR</x:v>
      </x:c>
      <x:c r="I250" s="5" t="n">
        <x:f>I249/0.9</x:f>
        <x:v>0</x:v>
      </x:c>
    </x:row>
    <x:row r="252">
      <x:c r="A252" s="4" t="str">
        <x:v>C4 Пригодность для планирования — Миленин Никита</x:v>
      </x:c>
      <x:c r="B252" s="4"/>
      <x:c r="C252" s="4"/>
      <x:c r="D252" s="4"/>
      <x:c r="E252" s="4"/>
      <x:c r="F252" s="4"/>
      <x:c r="G252" s="4"/>
      <x:c r="H252" s="4"/>
      <x:c r="I252" s="4"/>
    </x:row>
    <x:row r="253">
      <x:c r="A253" s="8" t="str">
        <x:v>Элемент</x:v>
      </x:c>
      <x:c r="B253" s="8" t="str">
        <x:v>A1</x:v>
      </x:c>
      <x:c r="C253" s="8" t="str">
        <x:v>A2</x:v>
      </x:c>
      <x:c r="D253" s="8" t="str">
        <x:v>A3</x:v>
      </x:c>
      <x:c r="E253" s="8" t="str">
        <x:v>A4</x:v>
      </x:c>
      <x:c r="F253" s="8" t="str">
        <x:v>Геом. ср.</x:v>
      </x:c>
      <x:c r="G253" s="8" t="str">
        <x:v>Приоритет</x:v>
      </x:c>
      <x:c r="H253" s="8" t="str">
        <x:v>Aw</x:v>
      </x:c>
      <x:c r="I253" s="8" t="str">
        <x:v>Aw/w</x:v>
      </x:c>
    </x:row>
    <x:row r="254">
      <x:c r="A254" t="str">
        <x:v>A1 Бронирование помещений</x:v>
      </x:c>
      <x:c r="B254" s="5" t="n">
        <x:v>1</x:v>
      </x:c>
      <x:c r="C254" s="5" t="n">
        <x:f>'Оценки'!F65</x:f>
        <x:v>2</x:v>
      </x:c>
      <x:c r="D254" s="5" t="n">
        <x:f>'Оценки'!F66</x:f>
        <x:v>1</x:v>
      </x:c>
      <x:c r="E254" s="5" t="n">
        <x:f>'Оценки'!F67</x:f>
        <x:v>0.5</x:v>
      </x:c>
      <x:c r="F254" s="5" t="n">
        <x:f>PRODUCT(B254:E254)^(1/4)</x:f>
        <x:v>1</x:v>
      </x:c>
      <x:c r="G254" s="5" t="n">
        <x:f>F254/SUM($F$254:$F$257)</x:f>
        <x:v>0.23301459556587137</x:v>
      </x:c>
      <x:c r="H254" s="5" t="n">
        <x:f>B254*$G$254+C254*$G$255+D254*$G$256+E254*$G$257</x:f>
        <x:v>0.942851463809475</x:v>
      </x:c>
      <x:c r="I254" s="5" t="n">
        <x:f>H254/G254</x:f>
        <x:v>4.046319336862907</x:v>
      </x:c>
    </x:row>
    <x:row r="255">
      <x:c r="A255" t="str">
        <x:v>A2 Учебные группы</x:v>
      </x:c>
      <x:c r="B255" s="5" t="n">
        <x:f>1/C254</x:f>
        <x:v>0.5</x:v>
      </x:c>
      <x:c r="C255" s="5" t="n">
        <x:v>1</x:v>
      </x:c>
      <x:c r="D255" s="5" t="n">
        <x:f>'Оценки'!F68</x:f>
        <x:v>0.5</x:v>
      </x:c>
      <x:c r="E255" s="5" t="n">
        <x:f>'Оценки'!F69</x:f>
        <x:v>0.3333333333333333</x:v>
      </x:c>
      <x:c r="F255" s="5" t="n">
        <x:f>PRODUCT(B255:E255)^(1/4)</x:f>
        <x:v>0.537284965911771</x:v>
      </x:c>
      <x:c r="G255" s="5" t="n">
        <x:f>F255/SUM($F$254:$F$257)</x:f>
        <x:v>0.1251952390355543</x:v>
      </x:c>
      <x:c r="H255" s="5" t="n">
        <x:f>B255*$G$254+C255*$G$255+D255*$G$256+E255*$G$257</x:f>
        <x:v>0.501816361109084</x:v>
      </x:c>
      <x:c r="I255" s="5" t="n">
        <x:f>H255/G255</x:f>
        <x:v>4.008270322217068</x:v>
      </x:c>
    </x:row>
    <x:row r="256">
      <x:c r="A256" t="str">
        <x:v>A3 Студенческие события</x:v>
      </x:c>
      <x:c r="B256" s="5" t="n">
        <x:f>1/D254</x:f>
        <x:v>1</x:v>
      </x:c>
      <x:c r="C256" s="5" t="n">
        <x:f>1/D255</x:f>
        <x:v>2</x:v>
      </x:c>
      <x:c r="D256" s="5" t="n">
        <x:v>1</x:v>
      </x:c>
      <x:c r="E256" s="5" t="n">
        <x:f>'Оценки'!F70</x:f>
        <x:v>1</x:v>
      </x:c>
      <x:c r="F256" s="5" t="n">
        <x:f>PRODUCT(B256:E256)^(1/4)</x:f>
        <x:v>1.189207115002721</x:v>
      </x:c>
      <x:c r="G256" s="5" t="n">
        <x:f>F256/SUM($F$254:$F$257)</x:f>
        <x:v>0.2771026149464157</x:v>
      </x:c>
      <x:c r="H256" s="5" t="n">
        <x:f>B256*$G$254+C256*$G$255+D256*$G$256+E256*$G$257</x:f>
        <x:v>1.1251952390355544</x:v>
      </x:c>
      <x:c r="I256" s="5" t="n">
        <x:f>H256/G256</x:f>
        <x:v>4.060572431816053</x:v>
      </x:c>
    </x:row>
    <x:row r="257">
      <x:c r="A257" t="str">
        <x:v>A4 Волонтёрские смены</x:v>
      </x:c>
      <x:c r="B257" s="5" t="n">
        <x:f>1/E254</x:f>
        <x:v>2</x:v>
      </x:c>
      <x:c r="C257" s="5" t="n">
        <x:f>1/E255</x:f>
        <x:v>3</x:v>
      </x:c>
      <x:c r="D257" s="5" t="n">
        <x:f>1/E256</x:f>
        <x:v>1</x:v>
      </x:c>
      <x:c r="E257" s="5" t="n">
        <x:v>1</x:v>
      </x:c>
      <x:c r="F257" s="5" t="n">
        <x:f>PRODUCT(B257:E257)^(1/4)</x:f>
        <x:v>1.5650845800732873</x:v>
      </x:c>
      <x:c r="G257" s="5" t="n">
        <x:f>F257/SUM($F$254:$F$257)</x:f>
        <x:v>0.36468755045215867</x:v>
      </x:c>
      <x:c r="H257" s="5" t="n">
        <x:f>B257*$G$254+C257*$G$255+D257*$G$256+E257*$G$257</x:f>
        <x:v>1.4834050736369802</x:v>
      </x:c>
      <x:c r="I257" s="5" t="n">
        <x:f>H257/G257</x:f>
        <x:v>4.067605466097697</x:v>
      </x:c>
    </x:row>
    <x:row r="258">
      <x:c r="B258" s="5"/>
      <x:c r="C258" s="5"/>
      <x:c r="D258" s="5"/>
      <x:c r="E258" s="5"/>
      <x:c r="F258" s="5"/>
      <x:c r="G258" s="5"/>
      <x:c r="H258" s="5" t="str">
        <x:v>λmax</x:v>
      </x:c>
      <x:c r="I258" s="5" t="n">
        <x:f>AVERAGE(I254:I257)</x:f>
        <x:v>4.045691889248431</x:v>
      </x:c>
    </x:row>
    <x:row r="259">
      <x:c r="B259" s="5"/>
      <x:c r="C259" s="5"/>
      <x:c r="D259" s="5"/>
      <x:c r="E259" s="5"/>
      <x:c r="F259" s="5"/>
      <x:c r="G259" s="5"/>
      <x:c r="H259" s="5" t="str">
        <x:v>CI</x:v>
      </x:c>
      <x:c r="I259" s="5" t="n">
        <x:f>(I258-4)/3</x:f>
        <x:v>0.015230629749477012</x:v>
      </x:c>
    </x:row>
    <x:row r="260">
      <x:c r="B260" s="5"/>
      <x:c r="C260" s="5"/>
      <x:c r="D260" s="5"/>
      <x:c r="E260" s="5"/>
      <x:c r="F260" s="5"/>
      <x:c r="G260" s="5"/>
      <x:c r="H260" s="5" t="str">
        <x:v>CR</x:v>
      </x:c>
      <x:c r="I260" s="5" t="n">
        <x:f>I259/0.9</x:f>
        <x:v>0.016922921943863346</x:v>
      </x:c>
    </x:row>
    <x:row r="262">
      <x:c r="A262" s="4" t="str">
        <x:v>C4 Пригодность для планирования — Соу Мамаду</x:v>
      </x:c>
      <x:c r="B262" s="4"/>
      <x:c r="C262" s="4"/>
      <x:c r="D262" s="4"/>
      <x:c r="E262" s="4"/>
      <x:c r="F262" s="4"/>
      <x:c r="G262" s="4"/>
      <x:c r="H262" s="4"/>
      <x:c r="I262" s="4"/>
    </x:row>
    <x:row r="263">
      <x:c r="A263" s="8" t="str">
        <x:v>Элемент</x:v>
      </x:c>
      <x:c r="B263" s="8" t="str">
        <x:v>A1</x:v>
      </x:c>
      <x:c r="C263" s="8" t="str">
        <x:v>A2</x:v>
      </x:c>
      <x:c r="D263" s="8" t="str">
        <x:v>A3</x:v>
      </x:c>
      <x:c r="E263" s="8" t="str">
        <x:v>A4</x:v>
      </x:c>
      <x:c r="F263" s="8" t="str">
        <x:v>Геом. ср.</x:v>
      </x:c>
      <x:c r="G263" s="8" t="str">
        <x:v>Приоритет</x:v>
      </x:c>
      <x:c r="H263" s="8" t="str">
        <x:v>Aw</x:v>
      </x:c>
      <x:c r="I263" s="8" t="str">
        <x:v>Aw/w</x:v>
      </x:c>
    </x:row>
    <x:row r="264">
      <x:c r="A264" t="str">
        <x:v>A1 Бронирование помещений</x:v>
      </x:c>
      <x:c r="B264" s="5" t="n">
        <x:v>1</x:v>
      </x:c>
      <x:c r="C264" s="5" t="n">
        <x:f>'Оценки'!G65</x:f>
        <x:v>2</x:v>
      </x:c>
      <x:c r="D264" s="5" t="n">
        <x:f>'Оценки'!G66</x:f>
        <x:v>1</x:v>
      </x:c>
      <x:c r="E264" s="5" t="n">
        <x:f>'Оценки'!G67</x:f>
        <x:v>0.5</x:v>
      </x:c>
      <x:c r="F264" s="5" t="n">
        <x:f>PRODUCT(B264:E264)^(1/4)</x:f>
        <x:v>1</x:v>
      </x:c>
      <x:c r="G264" s="5" t="n">
        <x:f>F264/SUM($F$264:$F$267)</x:f>
        <x:v>0.23301459556587137</x:v>
      </x:c>
      <x:c r="H264" s="5" t="n">
        <x:f>B264*$G$264+C264*$G$265+D264*$G$266+E264*$G$267</x:f>
        <x:v>0.942851463809475</x:v>
      </x:c>
      <x:c r="I264" s="5" t="n">
        <x:f>H264/G264</x:f>
        <x:v>4.046319336862907</x:v>
      </x:c>
    </x:row>
    <x:row r="265">
      <x:c r="A265" t="str">
        <x:v>A2 Учебные группы</x:v>
      </x:c>
      <x:c r="B265" s="5" t="n">
        <x:f>1/C264</x:f>
        <x:v>0.5</x:v>
      </x:c>
      <x:c r="C265" s="5" t="n">
        <x:v>1</x:v>
      </x:c>
      <x:c r="D265" s="5" t="n">
        <x:f>'Оценки'!G68</x:f>
        <x:v>0.5</x:v>
      </x:c>
      <x:c r="E265" s="5" t="n">
        <x:f>'Оценки'!G69</x:f>
        <x:v>0.3333333333333333</x:v>
      </x:c>
      <x:c r="F265" s="5" t="n">
        <x:f>PRODUCT(B265:E265)^(1/4)</x:f>
        <x:v>0.537284965911771</x:v>
      </x:c>
      <x:c r="G265" s="5" t="n">
        <x:f>F265/SUM($F$264:$F$267)</x:f>
        <x:v>0.1251952390355543</x:v>
      </x:c>
      <x:c r="H265" s="5" t="n">
        <x:f>B265*$G$264+C265*$G$265+D265*$G$266+E265*$G$267</x:f>
        <x:v>0.501816361109084</x:v>
      </x:c>
      <x:c r="I265" s="5" t="n">
        <x:f>H265/G265</x:f>
        <x:v>4.008270322217068</x:v>
      </x:c>
    </x:row>
    <x:row r="266">
      <x:c r="A266" t="str">
        <x:v>A3 Студенческие события</x:v>
      </x:c>
      <x:c r="B266" s="5" t="n">
        <x:f>1/D264</x:f>
        <x:v>1</x:v>
      </x:c>
      <x:c r="C266" s="5" t="n">
        <x:f>1/D265</x:f>
        <x:v>2</x:v>
      </x:c>
      <x:c r="D266" s="5" t="n">
        <x:v>1</x:v>
      </x:c>
      <x:c r="E266" s="5" t="n">
        <x:f>'Оценки'!G70</x:f>
        <x:v>1</x:v>
      </x:c>
      <x:c r="F266" s="5" t="n">
        <x:f>PRODUCT(B266:E266)^(1/4)</x:f>
        <x:v>1.189207115002721</x:v>
      </x:c>
      <x:c r="G266" s="5" t="n">
        <x:f>F266/SUM($F$264:$F$267)</x:f>
        <x:v>0.2771026149464157</x:v>
      </x:c>
      <x:c r="H266" s="5" t="n">
        <x:f>B266*$G$264+C266*$G$265+D266*$G$266+E266*$G$267</x:f>
        <x:v>1.1251952390355544</x:v>
      </x:c>
      <x:c r="I266" s="5" t="n">
        <x:f>H266/G266</x:f>
        <x:v>4.060572431816053</x:v>
      </x:c>
    </x:row>
    <x:row r="267">
      <x:c r="A267" t="str">
        <x:v>A4 Волонтёрские смены</x:v>
      </x:c>
      <x:c r="B267" s="5" t="n">
        <x:f>1/E264</x:f>
        <x:v>2</x:v>
      </x:c>
      <x:c r="C267" s="5" t="n">
        <x:f>1/E265</x:f>
        <x:v>3</x:v>
      </x:c>
      <x:c r="D267" s="5" t="n">
        <x:f>1/E266</x:f>
        <x:v>1</x:v>
      </x:c>
      <x:c r="E267" s="5" t="n">
        <x:v>1</x:v>
      </x:c>
      <x:c r="F267" s="5" t="n">
        <x:f>PRODUCT(B267:E267)^(1/4)</x:f>
        <x:v>1.5650845800732873</x:v>
      </x:c>
      <x:c r="G267" s="5" t="n">
        <x:f>F267/SUM($F$264:$F$267)</x:f>
        <x:v>0.36468755045215867</x:v>
      </x:c>
      <x:c r="H267" s="5" t="n">
        <x:f>B267*$G$264+C267*$G$265+D267*$G$266+E267*$G$267</x:f>
        <x:v>1.4834050736369802</x:v>
      </x:c>
      <x:c r="I267" s="5" t="n">
        <x:f>H267/G267</x:f>
        <x:v>4.067605466097697</x:v>
      </x:c>
    </x:row>
    <x:row r="268">
      <x:c r="B268" s="5"/>
      <x:c r="C268" s="5"/>
      <x:c r="D268" s="5"/>
      <x:c r="E268" s="5"/>
      <x:c r="F268" s="5"/>
      <x:c r="G268" s="5"/>
      <x:c r="H268" s="5" t="str">
        <x:v>λmax</x:v>
      </x:c>
      <x:c r="I268" s="5" t="n">
        <x:f>AVERAGE(I264:I267)</x:f>
        <x:v>4.045691889248431</x:v>
      </x:c>
    </x:row>
    <x:row r="269">
      <x:c r="B269" s="5"/>
      <x:c r="C269" s="5"/>
      <x:c r="D269" s="5"/>
      <x:c r="E269" s="5"/>
      <x:c r="F269" s="5"/>
      <x:c r="G269" s="5"/>
      <x:c r="H269" s="5" t="str">
        <x:v>CI</x:v>
      </x:c>
      <x:c r="I269" s="5" t="n">
        <x:f>(I268-4)/3</x:f>
        <x:v>0.015230629749477012</x:v>
      </x:c>
    </x:row>
    <x:row r="270">
      <x:c r="B270" s="5"/>
      <x:c r="C270" s="5"/>
      <x:c r="D270" s="5"/>
      <x:c r="E270" s="5"/>
      <x:c r="F270" s="5"/>
      <x:c r="G270" s="5"/>
      <x:c r="H270" s="5" t="str">
        <x:v>CR</x:v>
      </x:c>
      <x:c r="I270" s="5" t="n">
        <x:f>I269/0.9</x:f>
        <x:v>0.016922921943863346</x:v>
      </x:c>
    </x:row>
  </x:sheetData>
  <x:mergeCells>
    <x:mergeCell ref="A1:I1"/>
    <x:mergeCell ref="A3:I3"/>
    <x:mergeCell ref="A13:I13"/>
    <x:mergeCell ref="A23:I23"/>
    <x:mergeCell ref="A33:I33"/>
    <x:mergeCell ref="A43:I43"/>
    <x:mergeCell ref="A62:G62"/>
    <x:mergeCell ref="A72:I72"/>
    <x:mergeCell ref="A82:I82"/>
    <x:mergeCell ref="A92:I92"/>
    <x:mergeCell ref="A102:I102"/>
    <x:mergeCell ref="A112:I112"/>
    <x:mergeCell ref="A122:I122"/>
    <x:mergeCell ref="A132:I132"/>
    <x:mergeCell ref="A142:I142"/>
    <x:mergeCell ref="A152:I152"/>
    <x:mergeCell ref="A162:I162"/>
    <x:mergeCell ref="A172:I172"/>
    <x:mergeCell ref="A182:I182"/>
    <x:mergeCell ref="A192:I192"/>
    <x:mergeCell ref="A202:I202"/>
    <x:mergeCell ref="A212:I212"/>
    <x:mergeCell ref="A222:I222"/>
    <x:mergeCell ref="A232:I232"/>
    <x:mergeCell ref="A242:I242"/>
    <x:mergeCell ref="A252:I252"/>
    <x:mergeCell ref="A262:I26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9" hidden="0" customWidth="1"/>
    <x:col min="3" max="3" width="18" hidden="0" customWidth="1"/>
    <x:col min="4" max="4" width="18" hidden="0" customWidth="1"/>
    <x:col min="5" max="5" width="12" hidden="0" customWidth="1"/>
  </x:cols>
  <x:sheetData>
    <x:row r="1">
      <x:c r="A1" s="2" t="str">
        <x:v>Выбор концепции: результаты</x:v>
      </x:c>
      <x:c r="B1" s="2"/>
      <x:c r="C1" s="2"/>
      <x:c r="D1" s="2"/>
      <x:c r="E1" s="2"/>
    </x:row>
    <x:row r="3">
      <x:c r="A3" t="str">
        <x:v>Сравнение четырёх концепций по двум методам</x:v>
      </x:c>
    </x:row>
    <x:row r="5">
      <x:c r="A5" s="4" t="str">
        <x:v>Код</x:v>
      </x:c>
      <x:c r="B5" s="4" t="str">
        <x:v>Концепция</x:v>
      </x:c>
      <x:c r="C5" s="4" t="str">
        <x:v>TOPSIS: CC</x:v>
      </x:c>
      <x:c r="D5" s="4" t="str">
        <x:v>МАИ: вес</x:v>
      </x:c>
      <x:c r="E5" s="4" t="str">
        <x:v>Место</x:v>
      </x:c>
    </x:row>
    <x:row r="6">
      <x:c r="A6" t="str">
        <x:v>A1</x:v>
      </x:c>
      <x:c r="B6" t="str">
        <x:v>Бронирование помещений</x:v>
      </x:c>
      <x:c r="C6" s="5" t="n">
        <x:f>'TOPSIS'!D38</x:f>
        <x:v>0.3160411269988924</x:v>
      </x:c>
      <x:c r="D6" s="5" t="n">
        <x:f>'МАИ'!F56</x:f>
        <x:v>0.20940409514677907</x:v>
      </x:c>
      <x:c r="E6" t="n">
        <x:f>'TOPSIS'!E38</x:f>
        <x:v>4</x:v>
      </x:c>
    </x:row>
    <x:row r="7">
      <x:c r="A7" t="str">
        <x:v>A2</x:v>
      </x:c>
      <x:c r="B7" t="str">
        <x:v>Учебные группы</x:v>
      </x:c>
      <x:c r="C7" s="5" t="n">
        <x:f>'TOPSIS'!D39</x:f>
        <x:v>0.39870588170967225</x:v>
      </x:c>
      <x:c r="D7" s="5" t="n">
        <x:f>'МАИ'!F57</x:f>
        <x:v>0.2277835217913446</x:v>
      </x:c>
      <x:c r="E7" t="n">
        <x:f>'TOPSIS'!E39</x:f>
        <x:v>3</x:v>
      </x:c>
    </x:row>
    <x:row r="8">
      <x:c r="A8" t="str">
        <x:v>A3</x:v>
      </x:c>
      <x:c r="B8" t="str">
        <x:v>Студенческие события</x:v>
      </x:c>
      <x:c r="C8" s="5" t="n">
        <x:f>'TOPSIS'!D40</x:f>
        <x:v>0.8228009450757976</x:v>
      </x:c>
      <x:c r="D8" s="5" t="n">
        <x:f>'МАИ'!F58</x:f>
        <x:v>0.3011830787131089</x:v>
      </x:c>
      <x:c r="E8" t="n">
        <x:f>'TOPSIS'!E40</x:f>
        <x:v>1</x:v>
      </x:c>
    </x:row>
    <x:row r="9">
      <x:c r="A9" t="str">
        <x:v>A4</x:v>
      </x:c>
      <x:c r="B9" t="str">
        <x:v>Волонтёрские смены</x:v>
      </x:c>
      <x:c r="C9" s="5" t="n">
        <x:f>'TOPSIS'!D41</x:f>
        <x:v>0.579350742131985</x:v>
      </x:c>
      <x:c r="D9" s="5" t="n">
        <x:f>'МАИ'!F59</x:f>
        <x:v>0.2616293043487676</x:v>
      </x:c>
      <x:c r="E9" t="n">
        <x:f>'TOPSIS'!E41</x:f>
        <x:v>2</x:v>
      </x:c>
    </x:row>
    <x:row r="12">
      <x:c r="A12" s="4" t="str">
        <x:v>Код</x:v>
      </x:c>
      <x:c r="B12" s="4" t="str">
        <x:v>Критерий</x:v>
      </x:c>
      <x:c r="C12" s="4" t="str">
        <x:v>Направление</x:v>
      </x:c>
    </x:row>
    <x:row r="13">
      <x:c r="A13" t="str">
        <x:v>C1</x:v>
      </x:c>
      <x:c r="B13" t="str">
        <x:v>Полезность</x:v>
      </x:c>
      <x:c r="C13" t="str">
        <x:v>Больше — лучше</x:v>
      </x:c>
    </x:row>
    <x:row r="14">
      <x:c r="A14" t="str">
        <x:v>C2</x:v>
      </x:c>
      <x:c r="B14" t="str">
        <x:v>Реализуемость</x:v>
      </x:c>
      <x:c r="C14" t="str">
        <x:v>Больше — лучше</x:v>
      </x:c>
    </x:row>
    <x:row r="15">
      <x:c r="A15" t="str">
        <x:v>C3</x:v>
      </x:c>
      <x:c r="B15" t="str">
        <x:v>Ясность сценариев</x:v>
      </x:c>
      <x:c r="C15" t="str">
        <x:v>Больше — лучше</x:v>
      </x:c>
    </x:row>
    <x:row r="16">
      <x:c r="A16" t="str">
        <x:v>C4</x:v>
      </x:c>
      <x:c r="B16" t="str">
        <x:v>Пригодность для планирования</x:v>
      </x:c>
      <x:c r="C16" t="str">
        <x:v>Больше — лучше</x:v>
      </x:c>
    </x:row>
    <x:row r="19">
      <x:c r="A19" t="str">
        <x:v>Промежуточные вычисления приведены на листах «TOPSIS» и «МАИ».</x:v>
      </x:c>
    </x:row>
  </x:sheetData>
  <x:mergeCells>
    <x:mergeCell ref="A1:E1"/>
    <x:mergeCell ref="A3:E3"/>
    <x:mergeCell ref="A19:E19"/>
  </x:mergeCells>
  <x:pageMargins left="0.7" right="0.7" top="0.75" bottom="0.75" header="0.3" footer="0.3"/>
</x:worksheet>
</file>